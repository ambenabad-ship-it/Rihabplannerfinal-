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9" documentId="13_ncr:1_{4B768603-55D6-5F4F-9B0A-1257BA9203EA}" xr6:coauthVersionLast="47" xr6:coauthVersionMax="47" xr10:uidLastSave="{D04ECAF1-36A5-4BEA-8228-97D51AD09D6B}"/>
  <bookViews>
    <workbookView xWindow="-108" yWindow="-108" windowWidth="23256" windowHeight="12456" xr2:uid="{1239843B-4C75-4209-B66B-636DD0D50642}"/>
  </bookViews>
  <sheets>
    <sheet name="Famille-Produit" sheetId="1" r:id="rId1"/>
  </sheets>
  <externalReferences>
    <externalReference r:id="rId2"/>
  </externalReferences>
  <definedNames>
    <definedName name="_xlnm._FilterDatabase" localSheetId="0" hidden="1">'Famille-Produit'!$A$1:$C$4145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460" i="1" l="1"/>
  <c r="C460" i="1" s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C452" i="1" s="1"/>
  <c r="A452" i="1"/>
  <c r="B451" i="1"/>
  <c r="C451" i="1" s="1"/>
  <c r="A451" i="1"/>
  <c r="B450" i="1"/>
  <c r="C450" i="1" s="1"/>
  <c r="A450" i="1"/>
  <c r="B449" i="1"/>
  <c r="C449" i="1" s="1"/>
  <c r="A449" i="1"/>
  <c r="B448" i="1"/>
  <c r="C448" i="1" s="1"/>
  <c r="A448" i="1"/>
  <c r="B447" i="1"/>
  <c r="C447" i="1" s="1"/>
  <c r="A447" i="1"/>
  <c r="B446" i="1"/>
  <c r="C446" i="1" s="1"/>
  <c r="A446" i="1"/>
  <c r="B445" i="1"/>
  <c r="C445" i="1" s="1"/>
  <c r="A445" i="1"/>
  <c r="B444" i="1"/>
  <c r="C444" i="1" s="1"/>
  <c r="A444" i="1"/>
  <c r="B443" i="1"/>
  <c r="C443" i="1" s="1"/>
  <c r="A443" i="1"/>
  <c r="B442" i="1"/>
  <c r="C442" i="1" s="1"/>
  <c r="A442" i="1"/>
  <c r="B441" i="1"/>
  <c r="C441" i="1" s="1"/>
  <c r="A441" i="1"/>
  <c r="B440" i="1"/>
  <c r="C440" i="1" s="1"/>
  <c r="A440" i="1"/>
  <c r="B439" i="1"/>
  <c r="C439" i="1" s="1"/>
  <c r="A439" i="1"/>
  <c r="B438" i="1"/>
  <c r="C438" i="1" s="1"/>
  <c r="A438" i="1"/>
  <c r="B437" i="1"/>
  <c r="C437" i="1" s="1"/>
  <c r="A437" i="1"/>
  <c r="B436" i="1"/>
  <c r="C436" i="1" s="1"/>
  <c r="A436" i="1"/>
  <c r="B435" i="1"/>
  <c r="C435" i="1" s="1"/>
  <c r="A435" i="1"/>
  <c r="B434" i="1"/>
  <c r="C434" i="1" s="1"/>
  <c r="A434" i="1"/>
  <c r="B433" i="1"/>
  <c r="C433" i="1" s="1"/>
  <c r="A433" i="1"/>
  <c r="B432" i="1"/>
  <c r="C432" i="1" s="1"/>
  <c r="A432" i="1"/>
  <c r="B431" i="1"/>
  <c r="C431" i="1" s="1"/>
  <c r="A431" i="1"/>
  <c r="B430" i="1"/>
  <c r="C430" i="1" s="1"/>
  <c r="A430" i="1"/>
  <c r="B429" i="1"/>
  <c r="C429" i="1" s="1"/>
  <c r="A429" i="1"/>
  <c r="B428" i="1"/>
  <c r="C428" i="1" s="1"/>
  <c r="A428" i="1"/>
  <c r="B427" i="1"/>
  <c r="C427" i="1" s="1"/>
  <c r="A427" i="1"/>
  <c r="B426" i="1"/>
  <c r="C426" i="1" s="1"/>
  <c r="A426" i="1"/>
  <c r="B425" i="1"/>
  <c r="C425" i="1" s="1"/>
  <c r="A425" i="1"/>
  <c r="B424" i="1"/>
  <c r="C424" i="1" s="1"/>
  <c r="A424" i="1"/>
  <c r="B423" i="1"/>
  <c r="C423" i="1" s="1"/>
  <c r="A423" i="1"/>
  <c r="B422" i="1"/>
  <c r="C422" i="1" s="1"/>
  <c r="A422" i="1"/>
  <c r="B421" i="1"/>
  <c r="C421" i="1" s="1"/>
  <c r="A421" i="1"/>
  <c r="B420" i="1"/>
  <c r="C420" i="1" s="1"/>
  <c r="A420" i="1"/>
  <c r="B419" i="1"/>
  <c r="C419" i="1" s="1"/>
  <c r="A419" i="1"/>
  <c r="B418" i="1"/>
  <c r="C418" i="1" s="1"/>
  <c r="A418" i="1"/>
  <c r="B417" i="1"/>
  <c r="C417" i="1" s="1"/>
  <c r="A417" i="1"/>
  <c r="B416" i="1"/>
  <c r="C416" i="1" s="1"/>
  <c r="A416" i="1"/>
  <c r="B415" i="1"/>
  <c r="C415" i="1" s="1"/>
  <c r="A415" i="1"/>
  <c r="B414" i="1"/>
  <c r="C414" i="1" s="1"/>
  <c r="A414" i="1"/>
  <c r="B413" i="1"/>
  <c r="C413" i="1" s="1"/>
  <c r="A413" i="1"/>
  <c r="B412" i="1"/>
  <c r="C412" i="1" s="1"/>
  <c r="A412" i="1"/>
  <c r="B411" i="1"/>
  <c r="C411" i="1" s="1"/>
  <c r="A411" i="1"/>
  <c r="B410" i="1"/>
  <c r="C410" i="1" s="1"/>
  <c r="A410" i="1"/>
  <c r="B409" i="1"/>
  <c r="C409" i="1" s="1"/>
  <c r="A409" i="1"/>
  <c r="B408" i="1"/>
  <c r="C408" i="1" s="1"/>
  <c r="A408" i="1"/>
  <c r="B407" i="1"/>
  <c r="C407" i="1" s="1"/>
  <c r="A407" i="1"/>
  <c r="B406" i="1"/>
  <c r="C406" i="1" s="1"/>
  <c r="A406" i="1"/>
  <c r="B405" i="1"/>
  <c r="C405" i="1" s="1"/>
  <c r="A405" i="1"/>
  <c r="B404" i="1"/>
  <c r="C404" i="1" s="1"/>
  <c r="A404" i="1"/>
  <c r="B403" i="1"/>
  <c r="C403" i="1" s="1"/>
  <c r="A403" i="1"/>
  <c r="B402" i="1"/>
  <c r="C402" i="1" s="1"/>
  <c r="A402" i="1"/>
  <c r="B401" i="1"/>
  <c r="C401" i="1" s="1"/>
  <c r="A401" i="1"/>
  <c r="B400" i="1"/>
  <c r="C400" i="1" s="1"/>
  <c r="A400" i="1"/>
  <c r="B399" i="1"/>
  <c r="C399" i="1" s="1"/>
  <c r="A399" i="1"/>
  <c r="B398" i="1"/>
  <c r="C398" i="1" s="1"/>
  <c r="A398" i="1"/>
  <c r="B397" i="1"/>
  <c r="C397" i="1" s="1"/>
  <c r="A397" i="1"/>
  <c r="B396" i="1"/>
  <c r="C396" i="1" s="1"/>
  <c r="A396" i="1"/>
  <c r="B395" i="1"/>
  <c r="C395" i="1" s="1"/>
  <c r="A395" i="1"/>
  <c r="B394" i="1"/>
  <c r="C394" i="1" s="1"/>
  <c r="A394" i="1"/>
  <c r="B393" i="1"/>
  <c r="C393" i="1" s="1"/>
  <c r="A393" i="1"/>
  <c r="B392" i="1"/>
  <c r="C392" i="1" s="1"/>
  <c r="A392" i="1"/>
  <c r="B391" i="1"/>
  <c r="C391" i="1" s="1"/>
  <c r="A391" i="1"/>
  <c r="B390" i="1"/>
  <c r="C390" i="1" s="1"/>
  <c r="A390" i="1"/>
  <c r="B389" i="1"/>
  <c r="C389" i="1" s="1"/>
  <c r="A389" i="1"/>
  <c r="B388" i="1"/>
  <c r="C388" i="1" s="1"/>
  <c r="A388" i="1"/>
  <c r="B387" i="1"/>
  <c r="C387" i="1" s="1"/>
  <c r="A387" i="1"/>
  <c r="B386" i="1"/>
  <c r="C386" i="1" s="1"/>
  <c r="A386" i="1"/>
  <c r="B385" i="1"/>
  <c r="C385" i="1" s="1"/>
  <c r="A385" i="1"/>
  <c r="B384" i="1"/>
  <c r="C384" i="1" s="1"/>
  <c r="A384" i="1"/>
  <c r="B383" i="1"/>
  <c r="C383" i="1" s="1"/>
  <c r="A383" i="1"/>
  <c r="B382" i="1"/>
  <c r="C382" i="1" s="1"/>
  <c r="A382" i="1"/>
  <c r="B381" i="1"/>
  <c r="C381" i="1" s="1"/>
  <c r="A381" i="1"/>
  <c r="B380" i="1"/>
  <c r="C380" i="1" s="1"/>
  <c r="A380" i="1"/>
  <c r="B379" i="1"/>
  <c r="C379" i="1" s="1"/>
  <c r="A379" i="1"/>
  <c r="B378" i="1"/>
  <c r="C378" i="1" s="1"/>
  <c r="A378" i="1"/>
  <c r="B377" i="1"/>
  <c r="C377" i="1" s="1"/>
  <c r="A377" i="1"/>
  <c r="B376" i="1"/>
  <c r="C376" i="1" s="1"/>
  <c r="A376" i="1"/>
  <c r="B375" i="1"/>
  <c r="C375" i="1" s="1"/>
  <c r="A375" i="1"/>
  <c r="B374" i="1"/>
  <c r="C374" i="1" s="1"/>
  <c r="A374" i="1"/>
  <c r="B373" i="1"/>
  <c r="C373" i="1" s="1"/>
  <c r="A373" i="1"/>
  <c r="B372" i="1"/>
  <c r="C372" i="1" s="1"/>
  <c r="A372" i="1"/>
  <c r="B371" i="1"/>
  <c r="C371" i="1" s="1"/>
  <c r="A371" i="1"/>
  <c r="B370" i="1"/>
  <c r="C370" i="1" s="1"/>
  <c r="A370" i="1"/>
  <c r="B369" i="1"/>
  <c r="C369" i="1" s="1"/>
  <c r="A369" i="1"/>
  <c r="B368" i="1"/>
  <c r="C368" i="1" s="1"/>
  <c r="A368" i="1"/>
  <c r="B367" i="1"/>
  <c r="C367" i="1" s="1"/>
  <c r="A367" i="1"/>
  <c r="B366" i="1"/>
  <c r="C366" i="1" s="1"/>
  <c r="A366" i="1"/>
  <c r="B365" i="1"/>
  <c r="C365" i="1" s="1"/>
  <c r="A365" i="1"/>
  <c r="B364" i="1"/>
  <c r="C364" i="1" s="1"/>
  <c r="A364" i="1"/>
  <c r="B363" i="1"/>
  <c r="C363" i="1" s="1"/>
  <c r="A363" i="1"/>
  <c r="B362" i="1"/>
  <c r="C362" i="1" s="1"/>
  <c r="A362" i="1"/>
  <c r="B361" i="1"/>
  <c r="C361" i="1" s="1"/>
  <c r="A361" i="1"/>
  <c r="B360" i="1"/>
  <c r="C360" i="1" s="1"/>
  <c r="A360" i="1"/>
  <c r="B359" i="1"/>
  <c r="C359" i="1" s="1"/>
  <c r="A359" i="1"/>
  <c r="B358" i="1"/>
  <c r="C358" i="1" s="1"/>
  <c r="A358" i="1"/>
  <c r="B357" i="1"/>
  <c r="C357" i="1" s="1"/>
  <c r="A357" i="1"/>
  <c r="B356" i="1"/>
  <c r="C356" i="1" s="1"/>
  <c r="A356" i="1"/>
  <c r="B355" i="1"/>
  <c r="C355" i="1" s="1"/>
  <c r="A355" i="1"/>
  <c r="B354" i="1"/>
  <c r="C354" i="1" s="1"/>
  <c r="A354" i="1"/>
  <c r="B353" i="1"/>
  <c r="C353" i="1" s="1"/>
  <c r="A353" i="1"/>
  <c r="B352" i="1"/>
  <c r="C352" i="1" s="1"/>
  <c r="A352" i="1"/>
  <c r="B351" i="1"/>
  <c r="C351" i="1" s="1"/>
  <c r="A351" i="1"/>
  <c r="B350" i="1"/>
  <c r="C350" i="1" s="1"/>
  <c r="A350" i="1"/>
  <c r="B349" i="1"/>
  <c r="C349" i="1" s="1"/>
  <c r="A349" i="1"/>
  <c r="B348" i="1"/>
  <c r="C348" i="1" s="1"/>
  <c r="A348" i="1"/>
  <c r="B347" i="1"/>
  <c r="C347" i="1" s="1"/>
  <c r="A347" i="1"/>
  <c r="B346" i="1"/>
  <c r="C346" i="1" s="1"/>
  <c r="A346" i="1"/>
  <c r="B345" i="1"/>
  <c r="C345" i="1" s="1"/>
  <c r="A345" i="1"/>
  <c r="B344" i="1"/>
  <c r="C344" i="1" s="1"/>
  <c r="A344" i="1"/>
  <c r="B343" i="1"/>
  <c r="C343" i="1" s="1"/>
  <c r="A343" i="1"/>
  <c r="B342" i="1"/>
  <c r="C342" i="1" s="1"/>
  <c r="A342" i="1"/>
  <c r="B341" i="1"/>
  <c r="C341" i="1" s="1"/>
  <c r="A341" i="1"/>
  <c r="B340" i="1"/>
  <c r="C340" i="1" s="1"/>
  <c r="A340" i="1"/>
  <c r="B339" i="1"/>
  <c r="C339" i="1" s="1"/>
  <c r="A339" i="1"/>
  <c r="B338" i="1"/>
  <c r="C338" i="1" s="1"/>
  <c r="A338" i="1"/>
  <c r="B337" i="1"/>
  <c r="C337" i="1" s="1"/>
  <c r="A337" i="1"/>
  <c r="B336" i="1"/>
  <c r="C336" i="1" s="1"/>
  <c r="A336" i="1"/>
  <c r="B335" i="1"/>
  <c r="C335" i="1" s="1"/>
  <c r="A335" i="1"/>
  <c r="B334" i="1"/>
  <c r="C334" i="1" s="1"/>
  <c r="A334" i="1"/>
  <c r="B333" i="1"/>
  <c r="C333" i="1" s="1"/>
  <c r="A333" i="1"/>
  <c r="B332" i="1"/>
  <c r="C332" i="1" s="1"/>
  <c r="A332" i="1"/>
  <c r="B331" i="1"/>
  <c r="C331" i="1" s="1"/>
  <c r="A331" i="1"/>
  <c r="B330" i="1"/>
  <c r="C330" i="1" s="1"/>
  <c r="A330" i="1"/>
  <c r="B329" i="1"/>
  <c r="C329" i="1" s="1"/>
  <c r="A329" i="1"/>
  <c r="B328" i="1"/>
  <c r="C328" i="1" s="1"/>
  <c r="A328" i="1"/>
  <c r="B327" i="1"/>
  <c r="C327" i="1" s="1"/>
  <c r="A327" i="1"/>
  <c r="B326" i="1"/>
  <c r="C326" i="1" s="1"/>
  <c r="A326" i="1"/>
  <c r="B325" i="1"/>
  <c r="C325" i="1" s="1"/>
  <c r="A325" i="1"/>
  <c r="B324" i="1"/>
  <c r="C324" i="1" s="1"/>
  <c r="A324" i="1"/>
  <c r="B323" i="1"/>
  <c r="C323" i="1" s="1"/>
  <c r="A323" i="1"/>
  <c r="B322" i="1"/>
  <c r="C322" i="1" s="1"/>
  <c r="A322" i="1"/>
  <c r="B321" i="1"/>
  <c r="C321" i="1" s="1"/>
  <c r="A321" i="1"/>
  <c r="B320" i="1"/>
  <c r="C320" i="1" s="1"/>
  <c r="A320" i="1"/>
  <c r="B319" i="1"/>
  <c r="C319" i="1" s="1"/>
  <c r="A319" i="1"/>
  <c r="B318" i="1"/>
  <c r="C318" i="1" s="1"/>
  <c r="A318" i="1"/>
  <c r="B317" i="1"/>
  <c r="C317" i="1" s="1"/>
  <c r="A317" i="1"/>
  <c r="B316" i="1"/>
  <c r="C316" i="1" s="1"/>
  <c r="A316" i="1"/>
  <c r="B315" i="1"/>
  <c r="C315" i="1" s="1"/>
  <c r="A315" i="1"/>
  <c r="B314" i="1"/>
  <c r="C314" i="1" s="1"/>
  <c r="A314" i="1"/>
  <c r="B313" i="1"/>
  <c r="C313" i="1" s="1"/>
  <c r="A313" i="1"/>
  <c r="B312" i="1"/>
  <c r="C312" i="1" s="1"/>
  <c r="A312" i="1"/>
  <c r="B311" i="1"/>
  <c r="C311" i="1" s="1"/>
  <c r="A311" i="1"/>
  <c r="B310" i="1"/>
  <c r="C310" i="1" s="1"/>
  <c r="A310" i="1"/>
  <c r="B309" i="1"/>
  <c r="C309" i="1" s="1"/>
  <c r="A309" i="1"/>
  <c r="B308" i="1"/>
  <c r="C308" i="1" s="1"/>
  <c r="A308" i="1"/>
  <c r="B307" i="1"/>
  <c r="C307" i="1" s="1"/>
  <c r="A307" i="1"/>
  <c r="B306" i="1"/>
  <c r="C306" i="1" s="1"/>
  <c r="A306" i="1"/>
  <c r="B305" i="1"/>
  <c r="C305" i="1" s="1"/>
  <c r="A305" i="1"/>
  <c r="B304" i="1"/>
  <c r="C304" i="1" s="1"/>
  <c r="A304" i="1"/>
  <c r="B303" i="1"/>
  <c r="C303" i="1" s="1"/>
  <c r="A303" i="1"/>
  <c r="B302" i="1"/>
  <c r="C302" i="1" s="1"/>
  <c r="A302" i="1"/>
  <c r="B301" i="1"/>
  <c r="C301" i="1" s="1"/>
  <c r="A301" i="1"/>
  <c r="B300" i="1"/>
  <c r="C300" i="1" s="1"/>
  <c r="A300" i="1"/>
  <c r="B299" i="1"/>
  <c r="C299" i="1" s="1"/>
  <c r="A299" i="1"/>
  <c r="B298" i="1"/>
  <c r="C298" i="1" s="1"/>
  <c r="A298" i="1"/>
  <c r="B297" i="1"/>
  <c r="C297" i="1" s="1"/>
  <c r="A297" i="1"/>
  <c r="B296" i="1"/>
  <c r="C296" i="1" s="1"/>
  <c r="A296" i="1"/>
  <c r="B295" i="1"/>
  <c r="C295" i="1" s="1"/>
  <c r="A295" i="1"/>
  <c r="B294" i="1"/>
  <c r="C294" i="1" s="1"/>
  <c r="A294" i="1"/>
  <c r="B293" i="1"/>
  <c r="C293" i="1" s="1"/>
  <c r="A293" i="1"/>
  <c r="B292" i="1"/>
  <c r="C292" i="1" s="1"/>
  <c r="A292" i="1"/>
  <c r="B291" i="1"/>
  <c r="C291" i="1" s="1"/>
  <c r="A291" i="1"/>
  <c r="B290" i="1"/>
  <c r="C290" i="1" s="1"/>
  <c r="A290" i="1"/>
  <c r="B289" i="1"/>
  <c r="C289" i="1" s="1"/>
  <c r="A289" i="1"/>
  <c r="B288" i="1"/>
  <c r="C288" i="1" s="1"/>
  <c r="A288" i="1"/>
  <c r="B287" i="1"/>
  <c r="C287" i="1" s="1"/>
  <c r="A287" i="1"/>
  <c r="B286" i="1"/>
  <c r="C286" i="1" s="1"/>
  <c r="A286" i="1"/>
  <c r="B285" i="1"/>
  <c r="C285" i="1" s="1"/>
  <c r="A285" i="1"/>
  <c r="B284" i="1"/>
  <c r="C284" i="1" s="1"/>
  <c r="A284" i="1"/>
  <c r="B283" i="1"/>
  <c r="C283" i="1" s="1"/>
  <c r="A283" i="1"/>
  <c r="B282" i="1"/>
  <c r="C282" i="1" s="1"/>
  <c r="A282" i="1"/>
  <c r="B281" i="1"/>
  <c r="C281" i="1" s="1"/>
  <c r="A281" i="1"/>
  <c r="B280" i="1"/>
  <c r="C280" i="1" s="1"/>
  <c r="A280" i="1"/>
  <c r="B279" i="1"/>
  <c r="C279" i="1" s="1"/>
  <c r="A279" i="1"/>
  <c r="B278" i="1"/>
  <c r="C278" i="1" s="1"/>
  <c r="A278" i="1"/>
  <c r="B277" i="1"/>
  <c r="C277" i="1" s="1"/>
  <c r="A277" i="1"/>
  <c r="B276" i="1"/>
  <c r="C276" i="1" s="1"/>
  <c r="A276" i="1"/>
  <c r="B275" i="1"/>
  <c r="C275" i="1" s="1"/>
  <c r="A275" i="1"/>
  <c r="B274" i="1"/>
  <c r="C274" i="1" s="1"/>
  <c r="A274" i="1"/>
  <c r="B273" i="1"/>
  <c r="C273" i="1" s="1"/>
  <c r="A273" i="1"/>
  <c r="B272" i="1"/>
  <c r="C272" i="1" s="1"/>
  <c r="A272" i="1"/>
  <c r="B271" i="1"/>
  <c r="C271" i="1" s="1"/>
  <c r="A271" i="1"/>
  <c r="B270" i="1"/>
  <c r="C270" i="1" s="1"/>
  <c r="A270" i="1"/>
  <c r="B269" i="1"/>
  <c r="C269" i="1" s="1"/>
  <c r="A269" i="1"/>
  <c r="B268" i="1"/>
  <c r="C268" i="1" s="1"/>
  <c r="A268" i="1"/>
  <c r="B267" i="1"/>
  <c r="C267" i="1" s="1"/>
  <c r="A267" i="1"/>
  <c r="B266" i="1"/>
  <c r="C266" i="1" s="1"/>
  <c r="A266" i="1"/>
  <c r="B265" i="1"/>
  <c r="C265" i="1" s="1"/>
  <c r="A265" i="1"/>
  <c r="B264" i="1"/>
  <c r="C264" i="1" s="1"/>
  <c r="A264" i="1"/>
  <c r="B263" i="1"/>
  <c r="C263" i="1" s="1"/>
  <c r="A263" i="1"/>
  <c r="B262" i="1"/>
  <c r="C262" i="1" s="1"/>
  <c r="A262" i="1"/>
  <c r="B261" i="1"/>
  <c r="C261" i="1" s="1"/>
  <c r="A261" i="1"/>
  <c r="B260" i="1"/>
  <c r="C260" i="1" s="1"/>
  <c r="A260" i="1"/>
  <c r="B259" i="1"/>
  <c r="C259" i="1" s="1"/>
  <c r="A259" i="1"/>
  <c r="B258" i="1"/>
  <c r="C258" i="1" s="1"/>
  <c r="A258" i="1"/>
  <c r="B257" i="1"/>
  <c r="C257" i="1" s="1"/>
  <c r="A257" i="1"/>
  <c r="B256" i="1"/>
  <c r="C256" i="1" s="1"/>
  <c r="A256" i="1"/>
  <c r="B255" i="1"/>
  <c r="C255" i="1" s="1"/>
  <c r="A255" i="1"/>
  <c r="B254" i="1"/>
  <c r="C254" i="1" s="1"/>
  <c r="A254" i="1"/>
  <c r="B253" i="1"/>
  <c r="C253" i="1" s="1"/>
  <c r="A253" i="1"/>
  <c r="B252" i="1"/>
  <c r="C252" i="1" s="1"/>
  <c r="A252" i="1"/>
  <c r="B251" i="1"/>
  <c r="C251" i="1" s="1"/>
  <c r="A251" i="1"/>
  <c r="B250" i="1"/>
  <c r="C250" i="1" s="1"/>
  <c r="A250" i="1"/>
  <c r="B249" i="1"/>
  <c r="C249" i="1" s="1"/>
  <c r="A249" i="1"/>
  <c r="B248" i="1"/>
  <c r="C248" i="1" s="1"/>
  <c r="A248" i="1"/>
  <c r="B247" i="1"/>
  <c r="C247" i="1" s="1"/>
  <c r="A247" i="1"/>
  <c r="B246" i="1"/>
  <c r="C246" i="1" s="1"/>
  <c r="A246" i="1"/>
  <c r="B245" i="1"/>
  <c r="C245" i="1" s="1"/>
  <c r="A245" i="1"/>
  <c r="B244" i="1"/>
  <c r="C244" i="1" s="1"/>
  <c r="A244" i="1"/>
  <c r="B243" i="1"/>
  <c r="C243" i="1" s="1"/>
  <c r="A243" i="1"/>
  <c r="B242" i="1"/>
  <c r="C242" i="1" s="1"/>
  <c r="A242" i="1"/>
  <c r="B241" i="1"/>
  <c r="C241" i="1" s="1"/>
  <c r="A241" i="1"/>
  <c r="B240" i="1"/>
  <c r="C240" i="1" s="1"/>
  <c r="A240" i="1"/>
  <c r="B239" i="1"/>
  <c r="C239" i="1" s="1"/>
  <c r="A239" i="1"/>
  <c r="B238" i="1"/>
  <c r="C238" i="1" s="1"/>
  <c r="A238" i="1"/>
  <c r="B237" i="1"/>
  <c r="C237" i="1" s="1"/>
  <c r="A237" i="1"/>
  <c r="B236" i="1"/>
  <c r="C236" i="1" s="1"/>
  <c r="A236" i="1"/>
  <c r="B235" i="1"/>
  <c r="C235" i="1" s="1"/>
  <c r="A235" i="1"/>
  <c r="B234" i="1"/>
  <c r="C234" i="1" s="1"/>
  <c r="A234" i="1"/>
  <c r="B233" i="1"/>
  <c r="C233" i="1" s="1"/>
  <c r="A233" i="1"/>
  <c r="B232" i="1"/>
  <c r="C232" i="1" s="1"/>
  <c r="A232" i="1"/>
  <c r="B231" i="1"/>
  <c r="C231" i="1" s="1"/>
  <c r="A231" i="1"/>
  <c r="B230" i="1"/>
  <c r="C230" i="1" s="1"/>
  <c r="A230" i="1"/>
  <c r="B229" i="1"/>
  <c r="C229" i="1" s="1"/>
  <c r="A229" i="1"/>
  <c r="B228" i="1"/>
  <c r="C228" i="1" s="1"/>
  <c r="A228" i="1"/>
  <c r="B227" i="1"/>
  <c r="C227" i="1" s="1"/>
  <c r="A227" i="1"/>
  <c r="B226" i="1"/>
  <c r="C226" i="1" s="1"/>
  <c r="A226" i="1"/>
  <c r="B225" i="1"/>
  <c r="C225" i="1" s="1"/>
  <c r="A225" i="1"/>
  <c r="B224" i="1"/>
  <c r="C224" i="1" s="1"/>
  <c r="A224" i="1"/>
  <c r="B223" i="1"/>
  <c r="C223" i="1" s="1"/>
  <c r="A223" i="1"/>
  <c r="B222" i="1"/>
  <c r="C222" i="1" s="1"/>
  <c r="A222" i="1"/>
  <c r="B221" i="1"/>
  <c r="C221" i="1" s="1"/>
  <c r="A221" i="1"/>
  <c r="B220" i="1"/>
  <c r="C220" i="1" s="1"/>
  <c r="A220" i="1"/>
  <c r="B219" i="1"/>
  <c r="C219" i="1" s="1"/>
  <c r="A219" i="1"/>
  <c r="B218" i="1"/>
  <c r="C218" i="1" s="1"/>
  <c r="A218" i="1"/>
  <c r="B217" i="1"/>
  <c r="C217" i="1" s="1"/>
  <c r="A217" i="1"/>
  <c r="B216" i="1"/>
  <c r="C216" i="1" s="1"/>
  <c r="A216" i="1"/>
  <c r="B215" i="1"/>
  <c r="C215" i="1" s="1"/>
  <c r="A215" i="1"/>
  <c r="B214" i="1"/>
  <c r="C214" i="1" s="1"/>
  <c r="A214" i="1"/>
  <c r="B213" i="1"/>
  <c r="C213" i="1" s="1"/>
  <c r="A213" i="1"/>
  <c r="B212" i="1"/>
  <c r="C212" i="1" s="1"/>
  <c r="A212" i="1"/>
  <c r="B211" i="1"/>
  <c r="C211" i="1" s="1"/>
  <c r="A211" i="1"/>
  <c r="B210" i="1"/>
  <c r="C210" i="1" s="1"/>
  <c r="A210" i="1"/>
  <c r="B209" i="1"/>
  <c r="C209" i="1" s="1"/>
  <c r="A209" i="1"/>
  <c r="B208" i="1"/>
  <c r="C208" i="1" s="1"/>
  <c r="A208" i="1"/>
  <c r="B207" i="1"/>
  <c r="C207" i="1" s="1"/>
  <c r="A207" i="1"/>
  <c r="B206" i="1"/>
  <c r="C206" i="1" s="1"/>
  <c r="A206" i="1"/>
  <c r="B205" i="1"/>
  <c r="C205" i="1" s="1"/>
  <c r="A205" i="1"/>
  <c r="B204" i="1"/>
  <c r="C204" i="1" s="1"/>
  <c r="A204" i="1"/>
  <c r="B203" i="1"/>
  <c r="C203" i="1" s="1"/>
  <c r="A203" i="1"/>
  <c r="B202" i="1"/>
  <c r="C202" i="1" s="1"/>
  <c r="A202" i="1"/>
  <c r="B201" i="1"/>
  <c r="C201" i="1" s="1"/>
  <c r="A201" i="1"/>
  <c r="B200" i="1"/>
  <c r="C200" i="1" s="1"/>
  <c r="A200" i="1"/>
  <c r="B199" i="1"/>
  <c r="C199" i="1" s="1"/>
  <c r="A199" i="1"/>
  <c r="B198" i="1"/>
  <c r="C198" i="1" s="1"/>
  <c r="A198" i="1"/>
  <c r="B197" i="1"/>
  <c r="C197" i="1" s="1"/>
  <c r="A197" i="1"/>
  <c r="B196" i="1"/>
  <c r="C196" i="1" s="1"/>
  <c r="A196" i="1"/>
  <c r="B195" i="1"/>
  <c r="C195" i="1" s="1"/>
  <c r="A195" i="1"/>
  <c r="B194" i="1"/>
  <c r="C194" i="1" s="1"/>
  <c r="A194" i="1"/>
  <c r="B193" i="1"/>
  <c r="C193" i="1" s="1"/>
  <c r="A193" i="1"/>
  <c r="B192" i="1"/>
  <c r="C192" i="1" s="1"/>
  <c r="A192" i="1"/>
  <c r="B191" i="1"/>
  <c r="C191" i="1" s="1"/>
  <c r="A191" i="1"/>
  <c r="B190" i="1"/>
  <c r="C190" i="1" s="1"/>
  <c r="A190" i="1"/>
  <c r="B189" i="1"/>
  <c r="C189" i="1" s="1"/>
  <c r="A189" i="1"/>
  <c r="B188" i="1"/>
  <c r="C188" i="1" s="1"/>
  <c r="A188" i="1"/>
  <c r="B187" i="1"/>
  <c r="C187" i="1" s="1"/>
  <c r="A187" i="1"/>
  <c r="B186" i="1"/>
  <c r="C186" i="1" s="1"/>
  <c r="A186" i="1"/>
  <c r="B185" i="1"/>
  <c r="C185" i="1" s="1"/>
  <c r="A185" i="1"/>
  <c r="B184" i="1"/>
  <c r="C184" i="1" s="1"/>
  <c r="A184" i="1"/>
  <c r="B183" i="1"/>
  <c r="C183" i="1" s="1"/>
  <c r="A183" i="1"/>
  <c r="B182" i="1"/>
  <c r="C182" i="1" s="1"/>
  <c r="A182" i="1"/>
  <c r="B181" i="1"/>
  <c r="C181" i="1" s="1"/>
  <c r="A181" i="1"/>
  <c r="B180" i="1"/>
  <c r="C180" i="1" s="1"/>
  <c r="A180" i="1"/>
  <c r="B179" i="1"/>
  <c r="C179" i="1" s="1"/>
  <c r="A179" i="1"/>
  <c r="B178" i="1"/>
  <c r="C178" i="1" s="1"/>
  <c r="A178" i="1"/>
  <c r="B177" i="1"/>
  <c r="C177" i="1" s="1"/>
  <c r="A177" i="1"/>
  <c r="B176" i="1"/>
  <c r="C176" i="1" s="1"/>
  <c r="A176" i="1"/>
  <c r="B175" i="1"/>
  <c r="C175" i="1" s="1"/>
  <c r="A175" i="1"/>
  <c r="B174" i="1"/>
  <c r="C174" i="1" s="1"/>
  <c r="A174" i="1"/>
  <c r="B173" i="1"/>
  <c r="C173" i="1" s="1"/>
  <c r="A173" i="1"/>
  <c r="B172" i="1"/>
  <c r="C172" i="1" s="1"/>
  <c r="A172" i="1"/>
  <c r="B171" i="1"/>
  <c r="C171" i="1" s="1"/>
  <c r="A171" i="1"/>
  <c r="B170" i="1"/>
  <c r="C170" i="1" s="1"/>
  <c r="A170" i="1"/>
  <c r="B169" i="1"/>
  <c r="C169" i="1" s="1"/>
  <c r="A169" i="1"/>
  <c r="B168" i="1"/>
  <c r="C168" i="1" s="1"/>
  <c r="A168" i="1"/>
  <c r="B167" i="1"/>
  <c r="C167" i="1" s="1"/>
  <c r="A167" i="1"/>
  <c r="B166" i="1"/>
  <c r="C166" i="1" s="1"/>
  <c r="A166" i="1"/>
  <c r="B165" i="1"/>
  <c r="C165" i="1" s="1"/>
  <c r="A165" i="1"/>
  <c r="B164" i="1"/>
  <c r="C164" i="1" s="1"/>
  <c r="A164" i="1"/>
  <c r="B163" i="1"/>
  <c r="C163" i="1" s="1"/>
  <c r="A163" i="1"/>
  <c r="B162" i="1"/>
  <c r="C162" i="1" s="1"/>
  <c r="A162" i="1"/>
  <c r="B161" i="1"/>
  <c r="C161" i="1" s="1"/>
  <c r="A161" i="1"/>
  <c r="B160" i="1"/>
  <c r="C160" i="1" s="1"/>
  <c r="A160" i="1"/>
  <c r="B159" i="1"/>
  <c r="C159" i="1" s="1"/>
  <c r="A159" i="1"/>
  <c r="B158" i="1"/>
  <c r="C158" i="1" s="1"/>
  <c r="A158" i="1"/>
  <c r="B157" i="1"/>
  <c r="C157" i="1" s="1"/>
  <c r="A157" i="1"/>
  <c r="B156" i="1"/>
  <c r="C156" i="1" s="1"/>
  <c r="A156" i="1"/>
  <c r="B155" i="1"/>
  <c r="C155" i="1" s="1"/>
  <c r="A155" i="1"/>
  <c r="B154" i="1"/>
  <c r="C154" i="1" s="1"/>
  <c r="A154" i="1"/>
  <c r="B153" i="1"/>
  <c r="C153" i="1" s="1"/>
  <c r="A153" i="1"/>
  <c r="B152" i="1"/>
  <c r="C152" i="1" s="1"/>
  <c r="A152" i="1"/>
  <c r="B151" i="1"/>
  <c r="C151" i="1" s="1"/>
  <c r="A151" i="1"/>
  <c r="B150" i="1"/>
  <c r="C150" i="1" s="1"/>
  <c r="A150" i="1"/>
  <c r="B149" i="1"/>
  <c r="C149" i="1" s="1"/>
  <c r="A149" i="1"/>
  <c r="B148" i="1"/>
  <c r="C148" i="1" s="1"/>
  <c r="A148" i="1"/>
  <c r="B147" i="1"/>
  <c r="C147" i="1" s="1"/>
  <c r="A147" i="1"/>
  <c r="B146" i="1"/>
  <c r="C146" i="1" s="1"/>
  <c r="A146" i="1"/>
  <c r="B145" i="1"/>
  <c r="C145" i="1" s="1"/>
  <c r="A145" i="1"/>
  <c r="B144" i="1"/>
  <c r="C144" i="1" s="1"/>
  <c r="A144" i="1"/>
  <c r="B143" i="1"/>
  <c r="C143" i="1" s="1"/>
  <c r="A143" i="1"/>
  <c r="B142" i="1"/>
  <c r="C142" i="1" s="1"/>
  <c r="A142" i="1"/>
  <c r="B141" i="1"/>
  <c r="C141" i="1" s="1"/>
  <c r="A141" i="1"/>
  <c r="B140" i="1"/>
  <c r="C140" i="1" s="1"/>
  <c r="A140" i="1"/>
  <c r="B139" i="1"/>
  <c r="C139" i="1" s="1"/>
  <c r="A139" i="1"/>
  <c r="B138" i="1"/>
  <c r="C138" i="1" s="1"/>
  <c r="A138" i="1"/>
  <c r="B137" i="1"/>
  <c r="C137" i="1" s="1"/>
  <c r="A137" i="1"/>
  <c r="B136" i="1"/>
  <c r="C136" i="1" s="1"/>
  <c r="A136" i="1"/>
  <c r="B135" i="1"/>
  <c r="C135" i="1" s="1"/>
  <c r="A135" i="1"/>
  <c r="B134" i="1"/>
  <c r="C134" i="1" s="1"/>
  <c r="A134" i="1"/>
  <c r="B133" i="1"/>
  <c r="C133" i="1" s="1"/>
  <c r="A133" i="1"/>
  <c r="B132" i="1"/>
  <c r="C132" i="1" s="1"/>
  <c r="A132" i="1"/>
  <c r="B131" i="1"/>
  <c r="C131" i="1" s="1"/>
  <c r="A131" i="1"/>
  <c r="B130" i="1"/>
  <c r="C130" i="1" s="1"/>
  <c r="A130" i="1"/>
  <c r="B129" i="1"/>
  <c r="C129" i="1" s="1"/>
  <c r="A129" i="1"/>
  <c r="B128" i="1"/>
  <c r="C128" i="1" s="1"/>
  <c r="A128" i="1"/>
  <c r="B127" i="1"/>
  <c r="C127" i="1" s="1"/>
  <c r="A127" i="1"/>
  <c r="B126" i="1"/>
  <c r="C126" i="1" s="1"/>
  <c r="A126" i="1"/>
  <c r="B125" i="1"/>
  <c r="C125" i="1" s="1"/>
  <c r="A125" i="1"/>
  <c r="B124" i="1"/>
  <c r="C124" i="1" s="1"/>
  <c r="A124" i="1"/>
  <c r="B123" i="1"/>
  <c r="C123" i="1" s="1"/>
  <c r="A123" i="1"/>
  <c r="B122" i="1"/>
  <c r="C122" i="1" s="1"/>
  <c r="A122" i="1"/>
  <c r="B121" i="1"/>
  <c r="C121" i="1" s="1"/>
  <c r="A121" i="1"/>
  <c r="B120" i="1"/>
  <c r="C120" i="1" s="1"/>
  <c r="A120" i="1"/>
  <c r="B119" i="1"/>
  <c r="C119" i="1" s="1"/>
  <c r="A119" i="1"/>
  <c r="B118" i="1"/>
  <c r="C118" i="1" s="1"/>
  <c r="A118" i="1"/>
  <c r="B117" i="1"/>
  <c r="C117" i="1" s="1"/>
  <c r="A117" i="1"/>
  <c r="B116" i="1"/>
  <c r="C116" i="1" s="1"/>
  <c r="A116" i="1"/>
  <c r="B115" i="1"/>
  <c r="C115" i="1" s="1"/>
  <c r="A115" i="1"/>
  <c r="B114" i="1"/>
  <c r="C114" i="1" s="1"/>
  <c r="A114" i="1"/>
  <c r="B113" i="1"/>
  <c r="C113" i="1" s="1"/>
  <c r="A113" i="1"/>
  <c r="B112" i="1"/>
  <c r="C112" i="1" s="1"/>
  <c r="A112" i="1"/>
  <c r="B111" i="1"/>
  <c r="C111" i="1" s="1"/>
  <c r="A111" i="1"/>
  <c r="B110" i="1"/>
  <c r="C110" i="1" s="1"/>
  <c r="A110" i="1"/>
  <c r="B109" i="1"/>
  <c r="C109" i="1" s="1"/>
  <c r="A109" i="1"/>
  <c r="B108" i="1"/>
  <c r="C108" i="1" s="1"/>
  <c r="A108" i="1"/>
  <c r="B107" i="1"/>
  <c r="C107" i="1" s="1"/>
  <c r="A107" i="1"/>
  <c r="B106" i="1"/>
  <c r="C106" i="1" s="1"/>
  <c r="A106" i="1"/>
  <c r="B105" i="1"/>
  <c r="C105" i="1" s="1"/>
  <c r="A105" i="1"/>
  <c r="B104" i="1"/>
  <c r="C104" i="1" s="1"/>
  <c r="A104" i="1"/>
  <c r="B103" i="1"/>
  <c r="C103" i="1" s="1"/>
  <c r="A103" i="1"/>
  <c r="B102" i="1"/>
  <c r="C102" i="1" s="1"/>
  <c r="A102" i="1"/>
  <c r="B101" i="1"/>
  <c r="C101" i="1" s="1"/>
  <c r="A101" i="1"/>
  <c r="B100" i="1"/>
  <c r="C100" i="1" s="1"/>
  <c r="A100" i="1"/>
  <c r="B99" i="1"/>
  <c r="C99" i="1" s="1"/>
  <c r="A99" i="1"/>
  <c r="B98" i="1"/>
  <c r="C98" i="1" s="1"/>
  <c r="A98" i="1"/>
  <c r="B97" i="1"/>
  <c r="C97" i="1" s="1"/>
  <c r="A97" i="1"/>
  <c r="B96" i="1"/>
  <c r="C96" i="1" s="1"/>
  <c r="A96" i="1"/>
  <c r="B95" i="1"/>
  <c r="C95" i="1" s="1"/>
  <c r="A95" i="1"/>
  <c r="B94" i="1"/>
  <c r="C94" i="1" s="1"/>
  <c r="A94" i="1"/>
  <c r="B93" i="1"/>
  <c r="C93" i="1" s="1"/>
  <c r="A93" i="1"/>
  <c r="B92" i="1"/>
  <c r="C92" i="1" s="1"/>
  <c r="A92" i="1"/>
  <c r="B91" i="1"/>
  <c r="C91" i="1" s="1"/>
  <c r="A91" i="1"/>
  <c r="B90" i="1"/>
  <c r="C90" i="1" s="1"/>
  <c r="A90" i="1"/>
  <c r="B89" i="1"/>
  <c r="C89" i="1" s="1"/>
  <c r="A89" i="1"/>
  <c r="B88" i="1"/>
  <c r="C88" i="1" s="1"/>
  <c r="A88" i="1"/>
  <c r="B87" i="1"/>
  <c r="C87" i="1" s="1"/>
  <c r="A87" i="1"/>
  <c r="B86" i="1"/>
  <c r="C86" i="1" s="1"/>
  <c r="A86" i="1"/>
  <c r="B85" i="1"/>
  <c r="C85" i="1" s="1"/>
  <c r="A85" i="1"/>
  <c r="B84" i="1"/>
  <c r="C84" i="1" s="1"/>
  <c r="A84" i="1"/>
  <c r="B83" i="1"/>
  <c r="C83" i="1" s="1"/>
  <c r="A83" i="1"/>
  <c r="B82" i="1"/>
  <c r="C82" i="1" s="1"/>
  <c r="A82" i="1"/>
  <c r="B81" i="1"/>
  <c r="C81" i="1" s="1"/>
  <c r="A81" i="1"/>
  <c r="B80" i="1"/>
  <c r="C80" i="1" s="1"/>
  <c r="A80" i="1"/>
  <c r="B79" i="1"/>
  <c r="C79" i="1" s="1"/>
  <c r="A79" i="1"/>
  <c r="B78" i="1"/>
  <c r="C78" i="1" s="1"/>
  <c r="A78" i="1"/>
  <c r="B77" i="1"/>
  <c r="C77" i="1" s="1"/>
  <c r="A77" i="1"/>
  <c r="B76" i="1"/>
  <c r="C76" i="1" s="1"/>
  <c r="A76" i="1"/>
  <c r="B75" i="1"/>
  <c r="C75" i="1" s="1"/>
  <c r="A75" i="1"/>
  <c r="B74" i="1"/>
  <c r="C74" i="1" s="1"/>
  <c r="A74" i="1"/>
  <c r="B73" i="1"/>
  <c r="C73" i="1" s="1"/>
  <c r="A73" i="1"/>
  <c r="B72" i="1"/>
  <c r="C72" i="1" s="1"/>
  <c r="A72" i="1"/>
  <c r="B71" i="1"/>
  <c r="C71" i="1" s="1"/>
  <c r="A71" i="1"/>
  <c r="B70" i="1"/>
  <c r="C70" i="1" s="1"/>
  <c r="A70" i="1"/>
  <c r="B69" i="1"/>
  <c r="C69" i="1" s="1"/>
  <c r="A69" i="1"/>
  <c r="B68" i="1"/>
  <c r="C68" i="1" s="1"/>
  <c r="A68" i="1"/>
  <c r="B67" i="1"/>
  <c r="C67" i="1" s="1"/>
  <c r="A67" i="1"/>
  <c r="B66" i="1"/>
  <c r="C66" i="1" s="1"/>
  <c r="A66" i="1"/>
  <c r="B65" i="1"/>
  <c r="C65" i="1" s="1"/>
  <c r="A65" i="1"/>
  <c r="B64" i="1"/>
  <c r="C64" i="1" s="1"/>
  <c r="A64" i="1"/>
  <c r="B63" i="1"/>
  <c r="C63" i="1" s="1"/>
  <c r="A63" i="1"/>
  <c r="B62" i="1"/>
  <c r="C62" i="1" s="1"/>
  <c r="A62" i="1"/>
  <c r="B61" i="1"/>
  <c r="C61" i="1" s="1"/>
  <c r="A61" i="1"/>
  <c r="B60" i="1"/>
  <c r="C60" i="1" s="1"/>
  <c r="A60" i="1"/>
  <c r="B59" i="1"/>
  <c r="C59" i="1" s="1"/>
  <c r="A59" i="1"/>
  <c r="B58" i="1"/>
  <c r="C58" i="1" s="1"/>
  <c r="A58" i="1"/>
  <c r="B57" i="1"/>
  <c r="C57" i="1" s="1"/>
  <c r="A57" i="1"/>
  <c r="B56" i="1"/>
  <c r="C56" i="1" s="1"/>
  <c r="A56" i="1"/>
  <c r="B55" i="1"/>
  <c r="C55" i="1" s="1"/>
  <c r="A55" i="1"/>
  <c r="B54" i="1"/>
  <c r="C54" i="1" s="1"/>
  <c r="A54" i="1"/>
  <c r="B53" i="1"/>
  <c r="C53" i="1" s="1"/>
  <c r="A53" i="1"/>
  <c r="B52" i="1"/>
  <c r="C52" i="1" s="1"/>
  <c r="A52" i="1"/>
  <c r="B51" i="1"/>
  <c r="C51" i="1" s="1"/>
  <c r="A51" i="1"/>
  <c r="B50" i="1"/>
  <c r="C50" i="1" s="1"/>
  <c r="A50" i="1"/>
  <c r="B49" i="1"/>
  <c r="C49" i="1" s="1"/>
  <c r="A49" i="1"/>
  <c r="B48" i="1"/>
  <c r="C48" i="1" s="1"/>
  <c r="A48" i="1"/>
  <c r="B47" i="1"/>
  <c r="C47" i="1" s="1"/>
  <c r="A47" i="1"/>
  <c r="B46" i="1"/>
  <c r="C46" i="1" s="1"/>
  <c r="A46" i="1"/>
  <c r="B45" i="1"/>
  <c r="C45" i="1" s="1"/>
  <c r="A45" i="1"/>
  <c r="B44" i="1"/>
  <c r="C44" i="1" s="1"/>
  <c r="A44" i="1"/>
  <c r="B43" i="1"/>
  <c r="C43" i="1" s="1"/>
  <c r="A43" i="1"/>
  <c r="B42" i="1"/>
  <c r="C42" i="1" s="1"/>
  <c r="A42" i="1"/>
  <c r="B41" i="1"/>
  <c r="C41" i="1" s="1"/>
  <c r="A41" i="1"/>
  <c r="B40" i="1"/>
  <c r="C40" i="1" s="1"/>
  <c r="A40" i="1"/>
  <c r="B39" i="1"/>
  <c r="C39" i="1" s="1"/>
  <c r="A39" i="1"/>
  <c r="B38" i="1"/>
  <c r="C38" i="1" s="1"/>
  <c r="A38" i="1"/>
  <c r="B37" i="1"/>
  <c r="C37" i="1" s="1"/>
  <c r="A37" i="1"/>
  <c r="B36" i="1"/>
  <c r="C36" i="1" s="1"/>
  <c r="A36" i="1"/>
  <c r="B35" i="1"/>
  <c r="C35" i="1" s="1"/>
  <c r="A35" i="1"/>
  <c r="B34" i="1"/>
  <c r="C34" i="1" s="1"/>
  <c r="A34" i="1"/>
  <c r="B33" i="1"/>
  <c r="C33" i="1" s="1"/>
  <c r="A33" i="1"/>
  <c r="B32" i="1"/>
  <c r="C32" i="1" s="1"/>
  <c r="A32" i="1"/>
  <c r="B31" i="1"/>
  <c r="C31" i="1" s="1"/>
  <c r="A31" i="1"/>
  <c r="B30" i="1"/>
  <c r="C30" i="1" s="1"/>
  <c r="A30" i="1"/>
  <c r="B29" i="1"/>
  <c r="C29" i="1" s="1"/>
  <c r="A29" i="1"/>
  <c r="B28" i="1"/>
  <c r="C28" i="1" s="1"/>
  <c r="A28" i="1"/>
  <c r="B27" i="1"/>
  <c r="C27" i="1" s="1"/>
  <c r="A27" i="1"/>
  <c r="B26" i="1"/>
  <c r="C26" i="1" s="1"/>
  <c r="A26" i="1"/>
  <c r="B25" i="1"/>
  <c r="C25" i="1" s="1"/>
  <c r="A25" i="1"/>
  <c r="B24" i="1"/>
  <c r="C24" i="1" s="1"/>
  <c r="A24" i="1"/>
  <c r="B23" i="1"/>
  <c r="C23" i="1" s="1"/>
  <c r="A23" i="1"/>
  <c r="B22" i="1"/>
  <c r="C22" i="1" s="1"/>
  <c r="A22" i="1"/>
  <c r="B21" i="1"/>
  <c r="C21" i="1" s="1"/>
  <c r="A21" i="1"/>
  <c r="B20" i="1"/>
  <c r="C20" i="1" s="1"/>
  <c r="A20" i="1"/>
  <c r="B19" i="1"/>
  <c r="C19" i="1" s="1"/>
  <c r="A19" i="1"/>
  <c r="B18" i="1"/>
  <c r="C18" i="1" s="1"/>
  <c r="A18" i="1"/>
  <c r="B17" i="1"/>
  <c r="C17" i="1" s="1"/>
  <c r="A17" i="1"/>
  <c r="B16" i="1"/>
  <c r="C16" i="1" s="1"/>
  <c r="A16" i="1"/>
  <c r="B15" i="1"/>
  <c r="C15" i="1" s="1"/>
  <c r="A15" i="1"/>
  <c r="B14" i="1"/>
  <c r="C14" i="1" s="1"/>
  <c r="A14" i="1"/>
  <c r="B13" i="1"/>
  <c r="C13" i="1" s="1"/>
  <c r="A13" i="1"/>
  <c r="B12" i="1"/>
  <c r="C12" i="1" s="1"/>
  <c r="A12" i="1"/>
  <c r="B11" i="1"/>
  <c r="C11" i="1" s="1"/>
  <c r="A11" i="1"/>
  <c r="B10" i="1"/>
  <c r="C10" i="1" s="1"/>
  <c r="A10" i="1"/>
  <c r="B9" i="1"/>
  <c r="C9" i="1" s="1"/>
  <c r="A9" i="1"/>
  <c r="B8" i="1"/>
  <c r="C8" i="1" s="1"/>
  <c r="A8" i="1"/>
  <c r="B7" i="1"/>
  <c r="C7" i="1" s="1"/>
  <c r="A7" i="1"/>
  <c r="B6" i="1"/>
  <c r="C6" i="1" s="1"/>
  <c r="A6" i="1"/>
  <c r="B5" i="1"/>
  <c r="C5" i="1" s="1"/>
  <c r="A5" i="1"/>
  <c r="B4" i="1"/>
  <c r="C4" i="1" s="1"/>
  <c r="A4" i="1"/>
  <c r="B3" i="1"/>
  <c r="C3" i="1" s="1"/>
  <c r="A3" i="1"/>
  <c r="B2" i="1"/>
  <c r="C2" i="1" s="1"/>
  <c r="A2" i="1"/>
</calcChain>
</file>

<file path=xl/sharedStrings.xml><?xml version="1.0" encoding="utf-8"?>
<sst xmlns="http://schemas.openxmlformats.org/spreadsheetml/2006/main" count="10" uniqueCount="4">
  <si>
    <t>Code</t>
  </si>
  <si>
    <t>The Al Itkane</t>
  </si>
  <si>
    <t>Focus product</t>
  </si>
  <si>
    <t>Sub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</si>
</sst>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eyondbelievers-my.sharepoint.com/personal/k_saguem_z_systems/Documents/Bureau/Rehab%20app%20(%20planner)%20-%20Copie/rigab_app/Export_Articles_Matjar_2026-04-30.xlsx" TargetMode="External"/><Relationship Id="rId1" Type="http://schemas.openxmlformats.org/officeDocument/2006/relationships/externalLinkPath" Target="rigab_app/Export_Articles_Matjar_2026-04-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"/>
      <sheetName val="Feuil1"/>
      <sheetName val="Famille-Produit"/>
    </sheetNames>
    <sheetDataSet>
      <sheetData sheetId="0">
        <row r="34">
          <cell r="A34" t="str">
            <v>ART00049</v>
          </cell>
          <cell r="B34" t="str">
            <v>CALIN Couches RP Taille 2</v>
          </cell>
        </row>
        <row r="35">
          <cell r="A35" t="str">
            <v>ART00052</v>
          </cell>
          <cell r="B35" t="str">
            <v>CALIN Couches RP Taille 5</v>
          </cell>
        </row>
        <row r="47">
          <cell r="A47" t="str">
            <v>ART00050</v>
          </cell>
          <cell r="B47" t="str">
            <v>CALIN Couches RP Taille 3</v>
          </cell>
        </row>
        <row r="94">
          <cell r="A94" t="str">
            <v>ART03709</v>
          </cell>
          <cell r="B94" t="str">
            <v>TAJ AL SAHARAA 100G</v>
          </cell>
        </row>
        <row r="100">
          <cell r="A100" t="str">
            <v>ART03711</v>
          </cell>
          <cell r="B100" t="str">
            <v>TAJ AL SAHARAA 500G</v>
          </cell>
        </row>
        <row r="201">
          <cell r="A201" t="str">
            <v>ART00103</v>
          </cell>
          <cell r="B201" t="str">
            <v>MIA Maxi Nuit Bleu</v>
          </cell>
        </row>
        <row r="202">
          <cell r="A202" t="str">
            <v>ART01618</v>
          </cell>
          <cell r="B202" t="str">
            <v>AL ITKANE COUSCOUS MOY 1KG</v>
          </cell>
        </row>
        <row r="203">
          <cell r="A203" t="str">
            <v>ART01616</v>
          </cell>
          <cell r="B203" t="str">
            <v>AL ITKANE Spaghetti  500G</v>
          </cell>
        </row>
        <row r="237">
          <cell r="A237" t="str">
            <v>ART01617</v>
          </cell>
          <cell r="B237" t="str">
            <v>AL ITKANE COUSCOUS FIN 1KG</v>
          </cell>
        </row>
        <row r="240">
          <cell r="A240" t="str">
            <v>ART01615</v>
          </cell>
          <cell r="B240" t="str">
            <v>AL ITKANE Spaghetti 250G</v>
          </cell>
        </row>
        <row r="283">
          <cell r="A283" t="str">
            <v>ART00301</v>
          </cell>
          <cell r="B283" t="str">
            <v>MIA Maxi Long Rose 16U + 1 GRT</v>
          </cell>
        </row>
        <row r="289">
          <cell r="A289" t="str">
            <v>ART01381</v>
          </cell>
          <cell r="B289" t="str">
            <v>NOVA Couches Adultes Medium 10U</v>
          </cell>
        </row>
        <row r="290">
          <cell r="A290" t="str">
            <v>ART00367</v>
          </cell>
          <cell r="B290" t="str">
            <v>AL ITKANE Langue d'oiseau 10KG</v>
          </cell>
        </row>
        <row r="295">
          <cell r="A295" t="str">
            <v>ART01673</v>
          </cell>
          <cell r="B295" t="str">
            <v>CALIN Couches VP Taille 2 50U +4 GRT</v>
          </cell>
        </row>
        <row r="298">
          <cell r="A298" t="str">
            <v>ART01674</v>
          </cell>
          <cell r="B298" t="str">
            <v>CALIN Couches VP Taille 3 42U + 4 GRT</v>
          </cell>
        </row>
        <row r="299">
          <cell r="A299" t="str">
            <v>ART01671</v>
          </cell>
          <cell r="B299" t="str">
            <v>CALIN Couches VP Taille 5 28U +4 GRT</v>
          </cell>
        </row>
        <row r="301">
          <cell r="A301" t="str">
            <v>ART01678</v>
          </cell>
          <cell r="B301" t="str">
            <v>AL ITKANE  Cheveux D'ange 10KG</v>
          </cell>
        </row>
        <row r="320">
          <cell r="A320" t="str">
            <v>ART01203</v>
          </cell>
          <cell r="B320" t="str">
            <v>DALAA Couches VP Taille 4 42U+2U GRT</v>
          </cell>
        </row>
        <row r="321">
          <cell r="A321" t="str">
            <v>ART01672</v>
          </cell>
          <cell r="B321" t="str">
            <v>CALIN Couches VP Taille 6 22U+4 GRT</v>
          </cell>
        </row>
        <row r="322">
          <cell r="A322" t="str">
            <v>ART01675</v>
          </cell>
          <cell r="B322" t="str">
            <v>CALIN Couches VP Taille 4 36U +4 GRT</v>
          </cell>
        </row>
        <row r="362">
          <cell r="A362" t="str">
            <v>ART00134</v>
          </cell>
          <cell r="B362" t="str">
            <v>MIA Maxi Plus Long</v>
          </cell>
        </row>
        <row r="415">
          <cell r="A415" t="str">
            <v>ART00516</v>
          </cell>
          <cell r="B415" t="str">
            <v>AL ITKANE Couscous Fin 500G</v>
          </cell>
        </row>
        <row r="421">
          <cell r="A421" t="str">
            <v>ART00333</v>
          </cell>
          <cell r="B421" t="str">
            <v>MIA Maxi Normal Mauve</v>
          </cell>
        </row>
        <row r="447">
          <cell r="A447" t="str">
            <v>ART00956</v>
          </cell>
          <cell r="B447" t="str">
            <v>DALAA Pack Bakal Taille 5 66U</v>
          </cell>
        </row>
        <row r="479">
          <cell r="A479" t="str">
            <v>ART00186</v>
          </cell>
          <cell r="B479" t="str">
            <v>MIA Maxi Plus Long 16U + 1U GRT</v>
          </cell>
        </row>
        <row r="531">
          <cell r="A531" t="str">
            <v>ART00051</v>
          </cell>
          <cell r="B531" t="str">
            <v>CALIN Couches RP Taille 4</v>
          </cell>
        </row>
        <row r="607">
          <cell r="A607" t="str">
            <v>ART00292</v>
          </cell>
          <cell r="B607" t="str">
            <v>MIO Détérgent Semi Auto 1KG * 10 Rose</v>
          </cell>
        </row>
        <row r="611">
          <cell r="A611" t="str">
            <v>ART03604</v>
          </cell>
          <cell r="B611" t="str">
            <v>Douceur Boite Mouchoir 2 plis MAROC 600</v>
          </cell>
        </row>
        <row r="614">
          <cell r="A614" t="str">
            <v>ART00513</v>
          </cell>
          <cell r="B614" t="str">
            <v>PRIMA Couches Adultes Large 9U</v>
          </cell>
        </row>
        <row r="629">
          <cell r="A629" t="str">
            <v>ART00009</v>
          </cell>
          <cell r="B629" t="str">
            <v>DALAA Couches VP Taille 4</v>
          </cell>
        </row>
        <row r="647">
          <cell r="A647" t="str">
            <v>ART00008</v>
          </cell>
          <cell r="B647" t="str">
            <v>DALAA Couches VP Taille 3</v>
          </cell>
        </row>
        <row r="648">
          <cell r="A648" t="str">
            <v>ART00014</v>
          </cell>
          <cell r="B648" t="str">
            <v>NOVA Large 9U</v>
          </cell>
        </row>
        <row r="685">
          <cell r="A685" t="str">
            <v>ART01873</v>
          </cell>
          <cell r="B685" t="str">
            <v>NOVA Couches Adultes Large 20U</v>
          </cell>
        </row>
        <row r="707">
          <cell r="A707" t="str">
            <v>ART00007</v>
          </cell>
          <cell r="B707" t="str">
            <v>DALAA Couches VP Taille 2</v>
          </cell>
        </row>
        <row r="708">
          <cell r="A708" t="str">
            <v>ART00011</v>
          </cell>
          <cell r="B708" t="str">
            <v>DALAA Couches VP Taille 6</v>
          </cell>
        </row>
        <row r="779">
          <cell r="A779" t="str">
            <v>ART01130</v>
          </cell>
          <cell r="B779" t="str">
            <v>DALAA Couches RP Taille 4 16U</v>
          </cell>
        </row>
        <row r="793">
          <cell r="A793" t="str">
            <v>ART01902</v>
          </cell>
          <cell r="B793" t="str">
            <v>NOVA Couches Adultes Medium 10U- Pack Mauve</v>
          </cell>
        </row>
        <row r="867">
          <cell r="A867" t="str">
            <v>ART02699</v>
          </cell>
          <cell r="B867" t="str">
            <v>MIO Liquide Matic 3L Savon Marseille</v>
          </cell>
        </row>
        <row r="915">
          <cell r="A915" t="str">
            <v>ART01960</v>
          </cell>
          <cell r="B915" t="str">
            <v>MIO Citron 1KG</v>
          </cell>
        </row>
        <row r="930">
          <cell r="A930" t="str">
            <v>CF35250</v>
          </cell>
          <cell r="B930" t="str">
            <v>TOBIGO CROUSTY TIRAMISSU CRN 30UN</v>
          </cell>
        </row>
        <row r="934">
          <cell r="A934" t="str">
            <v>ART01967</v>
          </cell>
          <cell r="B934" t="str">
            <v>MIO Lessive En Poudre Rose 1KG</v>
          </cell>
        </row>
        <row r="940">
          <cell r="A940" t="str">
            <v>ART00968</v>
          </cell>
          <cell r="B940" t="str">
            <v>TOBIGO Roundy Cacao Biscuit Crème Vanille</v>
          </cell>
        </row>
        <row r="944">
          <cell r="A944" t="str">
            <v>ART02710</v>
          </cell>
          <cell r="B944" t="str">
            <v>MIO Javel  2.5L Citron</v>
          </cell>
        </row>
        <row r="945">
          <cell r="A945" t="str">
            <v>ART02711</v>
          </cell>
          <cell r="B945" t="str">
            <v>MIO Javel  5L Lavande</v>
          </cell>
        </row>
        <row r="946">
          <cell r="A946" t="str">
            <v>ART01972</v>
          </cell>
          <cell r="B946" t="str">
            <v>MIO Liquide Vaisselle Citron 300G</v>
          </cell>
        </row>
        <row r="955">
          <cell r="A955" t="str">
            <v>ART01963</v>
          </cell>
          <cell r="B955" t="str">
            <v>MIO Lessive En Poudre Ultra Efficace 10KG</v>
          </cell>
        </row>
        <row r="1012">
          <cell r="A1012" t="str">
            <v>ART02712</v>
          </cell>
          <cell r="B1012" t="str">
            <v>MIO Javel  2.5L Lavande</v>
          </cell>
        </row>
        <row r="1014">
          <cell r="A1014" t="str">
            <v>ART02033</v>
          </cell>
          <cell r="B1014" t="str">
            <v>MIO Matic Floral 3L</v>
          </cell>
        </row>
        <row r="1015">
          <cell r="A1015" t="str">
            <v>ART02034</v>
          </cell>
          <cell r="B1015" t="str">
            <v>MIO Détérgent Matic Floral 5KG</v>
          </cell>
        </row>
        <row r="1017">
          <cell r="A1017" t="str">
            <v>ART02032</v>
          </cell>
          <cell r="B1017" t="str">
            <v>MIO Liquide Vaisselle Citron 1250GX12</v>
          </cell>
        </row>
        <row r="1028">
          <cell r="A1028" t="str">
            <v>ART03315</v>
          </cell>
          <cell r="B1028" t="str">
            <v>PAPILLON Papier HYGIÉNIQUE 2PLIS</v>
          </cell>
        </row>
        <row r="1067">
          <cell r="A1067" t="str">
            <v>ART02059</v>
          </cell>
          <cell r="B1067" t="str">
            <v>MIO Liquide Vaisselle Aloe Vera 1250G</v>
          </cell>
        </row>
        <row r="1076">
          <cell r="A1076" t="str">
            <v>ART02066</v>
          </cell>
          <cell r="B1076" t="str">
            <v>MIO Matic Floral 1L*12</v>
          </cell>
        </row>
        <row r="1088">
          <cell r="A1088" t="str">
            <v>ART01968</v>
          </cell>
          <cell r="B1088" t="str">
            <v>MIO Poudre Citron 16X500G+1GRT</v>
          </cell>
        </row>
        <row r="1098">
          <cell r="A1098" t="str">
            <v>ART03641</v>
          </cell>
          <cell r="B1098" t="str">
            <v>TAWIL Eau de Javel Régulier 1L</v>
          </cell>
        </row>
        <row r="1099">
          <cell r="A1099" t="str">
            <v>ART03642</v>
          </cell>
          <cell r="B1099" t="str">
            <v>TAWIL Eau de Javel Lavande 1L</v>
          </cell>
        </row>
        <row r="1100">
          <cell r="A1100" t="str">
            <v>ART03643</v>
          </cell>
          <cell r="B1100" t="str">
            <v>TAWIL Eau de Javel Citron 1L</v>
          </cell>
        </row>
        <row r="1102">
          <cell r="A1102" t="str">
            <v>ART00010</v>
          </cell>
          <cell r="B1102" t="str">
            <v>DALAA Couches VP Taille 5</v>
          </cell>
        </row>
        <row r="1110">
          <cell r="A1110" t="str">
            <v>ART03644</v>
          </cell>
          <cell r="B1110" t="str">
            <v>TAWIL Eau de Javel Régulier 2.5 L</v>
          </cell>
        </row>
        <row r="1117">
          <cell r="A1117" t="str">
            <v>ART03645</v>
          </cell>
          <cell r="B1117" t="str">
            <v>TAWIL Eau de Javel Lavande 2.5 L</v>
          </cell>
        </row>
        <row r="1118">
          <cell r="A1118" t="str">
            <v>ART03646</v>
          </cell>
          <cell r="B1118" t="str">
            <v>TAWIL Eau de Javel Citron 2.5 L</v>
          </cell>
        </row>
        <row r="1119">
          <cell r="A1119" t="str">
            <v>ART03647</v>
          </cell>
          <cell r="B1119" t="str">
            <v>TAWIL Eau de Javel Régulier 5L</v>
          </cell>
        </row>
        <row r="1120">
          <cell r="A1120" t="str">
            <v>ART03649</v>
          </cell>
          <cell r="B1120" t="str">
            <v>TAWIL Eau de Javel Citron 5L</v>
          </cell>
        </row>
        <row r="1121">
          <cell r="A1121" t="str">
            <v>ART03650</v>
          </cell>
          <cell r="B1121" t="str">
            <v>TAWIL Liquide Vaisselle 300ml Lavande</v>
          </cell>
        </row>
        <row r="1122">
          <cell r="A1122" t="str">
            <v>ART03651</v>
          </cell>
          <cell r="B1122" t="str">
            <v>TAWIL Liquide Vaisselle 300ml Citron</v>
          </cell>
        </row>
        <row r="1123">
          <cell r="A1123" t="str">
            <v>ART03652</v>
          </cell>
          <cell r="B1123" t="str">
            <v>TAWIL Liquide Vaisselle 300ml Coco</v>
          </cell>
        </row>
        <row r="1124">
          <cell r="A1124" t="str">
            <v>ART03653</v>
          </cell>
          <cell r="B1124" t="str">
            <v>TAWIL Liquide Vaisselle 300ml Menthe</v>
          </cell>
        </row>
        <row r="1125">
          <cell r="A1125" t="str">
            <v>CF35266</v>
          </cell>
          <cell r="B1125" t="str">
            <v>TOBIGO DONITO CARAMEL CRN 30UN</v>
          </cell>
        </row>
        <row r="1126">
          <cell r="A1126" t="str">
            <v>CF35267</v>
          </cell>
          <cell r="B1126" t="str">
            <v>TOBIGO DONITO CHOCO CRN 30UN</v>
          </cell>
        </row>
        <row r="1137">
          <cell r="A1137" t="str">
            <v>ART00013</v>
          </cell>
          <cell r="B1137" t="str">
            <v>MIA Maxi Long Rose</v>
          </cell>
        </row>
        <row r="1140">
          <cell r="A1140" t="str">
            <v>ART02071</v>
          </cell>
          <cell r="B1140" t="str">
            <v>Mio Matic Floral Clean and Protect  10kg</v>
          </cell>
        </row>
        <row r="1173">
          <cell r="A1173" t="str">
            <v>CF35298</v>
          </cell>
          <cell r="B1173" t="str">
            <v>TOBIGO SALEO ORIGINAL 24UN</v>
          </cell>
        </row>
        <row r="1199">
          <cell r="A1199" t="str">
            <v>ART02125</v>
          </cell>
          <cell r="B1199" t="str">
            <v>MIA Maxi Nuit Bleu 8*24</v>
          </cell>
        </row>
        <row r="1229">
          <cell r="A1229" t="str">
            <v>CF35516</v>
          </cell>
          <cell r="B1229" t="str">
            <v>TOBIGO MUFFIN  30U - NC</v>
          </cell>
        </row>
        <row r="1257">
          <cell r="A1257" t="str">
            <v>CF35517</v>
          </cell>
          <cell r="B1257" t="str">
            <v>TOBIGO TARTLET 24U - NC</v>
          </cell>
        </row>
        <row r="1309">
          <cell r="A1309" t="str">
            <v>ART00369</v>
          </cell>
          <cell r="B1309" t="str">
            <v>AL ITKANE Coquillage 10KG</v>
          </cell>
        </row>
        <row r="1355">
          <cell r="A1355" t="str">
            <v>CF35518</v>
          </cell>
          <cell r="B1355" t="str">
            <v>TOBIGO DONUT  24U - NC</v>
          </cell>
        </row>
        <row r="1362">
          <cell r="A1362" t="str">
            <v>ART02277</v>
          </cell>
          <cell r="B1362" t="str">
            <v>AL ITKANE Vermicelle Moyen 500g X 12</v>
          </cell>
        </row>
        <row r="1415">
          <cell r="A1415" t="str">
            <v>ART03648</v>
          </cell>
          <cell r="B1415" t="str">
            <v>TAWIL Eau de Javel Lavande 5L</v>
          </cell>
        </row>
        <row r="1416">
          <cell r="A1416" t="str">
            <v>ART03663</v>
          </cell>
          <cell r="B1416" t="str">
            <v>TAWIL Nettoyant Sol 1L Citron</v>
          </cell>
        </row>
        <row r="1417">
          <cell r="A1417" t="str">
            <v>ART03675</v>
          </cell>
          <cell r="B1417" t="str">
            <v>TAWIL Matic Lessive Liquide Océanique 5L</v>
          </cell>
        </row>
        <row r="1418">
          <cell r="A1418" t="str">
            <v>ART03710</v>
          </cell>
          <cell r="B1418" t="str">
            <v>TAJ AL SAHARAA 200G</v>
          </cell>
        </row>
        <row r="1422">
          <cell r="A1422" t="str">
            <v>ART00221</v>
          </cell>
          <cell r="B1422" t="str">
            <v>TOBIGO Crousty Lemon Cream</v>
          </cell>
        </row>
        <row r="1423">
          <cell r="A1423" t="str">
            <v>ART00222</v>
          </cell>
          <cell r="B1423" t="str">
            <v>TOBIGO Pyramido All Black</v>
          </cell>
        </row>
        <row r="1424">
          <cell r="A1424" t="str">
            <v>ART00223</v>
          </cell>
          <cell r="B1424" t="str">
            <v>TOBIGO Pyramido Lemon</v>
          </cell>
        </row>
        <row r="1425">
          <cell r="A1425" t="str">
            <v>ART00224</v>
          </cell>
          <cell r="B1425" t="str">
            <v>TOBIGO Chookies</v>
          </cell>
        </row>
        <row r="1426">
          <cell r="A1426" t="str">
            <v>ART00225</v>
          </cell>
          <cell r="B1426" t="str">
            <v>TOBIGO Pyramido Milk Chocolate</v>
          </cell>
        </row>
        <row r="1427">
          <cell r="A1427" t="str">
            <v>ART00226</v>
          </cell>
          <cell r="B1427" t="str">
            <v>TOBIGO Bleo chocolate enrobé</v>
          </cell>
        </row>
        <row r="1428">
          <cell r="A1428" t="str">
            <v>ART00227</v>
          </cell>
          <cell r="B1428" t="str">
            <v>TOBIGO Crousty Vanilla Cream</v>
          </cell>
        </row>
        <row r="1429">
          <cell r="A1429" t="str">
            <v>ART00228</v>
          </cell>
          <cell r="B1429" t="str">
            <v>TOBIGO Trio Choco &amp; Coco</v>
          </cell>
        </row>
        <row r="1430">
          <cell r="A1430" t="str">
            <v>ART00229</v>
          </cell>
          <cell r="B1430" t="str">
            <v>TOBIGO Cookies</v>
          </cell>
        </row>
        <row r="1431">
          <cell r="A1431" t="str">
            <v>ART00230</v>
          </cell>
          <cell r="B1431" t="str">
            <v>TOBIGO Bleo Crème Vanille</v>
          </cell>
        </row>
        <row r="1432">
          <cell r="A1432" t="str">
            <v>ART00232</v>
          </cell>
          <cell r="B1432" t="str">
            <v>TOBIGO Roundy Chocolat Cream</v>
          </cell>
        </row>
        <row r="1487">
          <cell r="A1487" t="str">
            <v>ART00294</v>
          </cell>
          <cell r="B1487" t="str">
            <v>TOBIGO Petit Beurre</v>
          </cell>
        </row>
        <row r="1488">
          <cell r="A1488" t="str">
            <v>ART00295</v>
          </cell>
          <cell r="B1488" t="str">
            <v>TOBIGO Cookies Black</v>
          </cell>
        </row>
        <row r="1502">
          <cell r="A1502" t="str">
            <v>ART00291</v>
          </cell>
          <cell r="B1502" t="str">
            <v>MIO Détérgent Semi Auto 1KG * 10 Citron</v>
          </cell>
        </row>
        <row r="1539">
          <cell r="A1539" t="str">
            <v>ART00356</v>
          </cell>
          <cell r="B1539" t="str">
            <v>TOBIGO Crousty Watermelon (Pastèque) Cream</v>
          </cell>
        </row>
        <row r="1540">
          <cell r="A1540" t="str">
            <v>ART00357</v>
          </cell>
          <cell r="B1540" t="str">
            <v>TOBIGO Petit Beurre pépites chocolat</v>
          </cell>
        </row>
        <row r="1548">
          <cell r="A1548" t="str">
            <v>ART00365</v>
          </cell>
          <cell r="B1548" t="str">
            <v>AL ITKANE Vermicelle Gros 10KG</v>
          </cell>
        </row>
        <row r="1549">
          <cell r="A1549" t="str">
            <v>ART00366</v>
          </cell>
          <cell r="B1549" t="str">
            <v>AL ITKANE Vermicelle Moyen 10KG</v>
          </cell>
        </row>
        <row r="1550">
          <cell r="A1550" t="str">
            <v>ART00368</v>
          </cell>
          <cell r="B1550" t="str">
            <v>AL ITKANE Penne 10KG</v>
          </cell>
        </row>
        <row r="1551">
          <cell r="A1551" t="str">
            <v>ART00370</v>
          </cell>
          <cell r="B1551" t="str">
            <v>AL ITKANE Coquillettes 10KG</v>
          </cell>
        </row>
        <row r="1552">
          <cell r="A1552" t="str">
            <v>ART00371</v>
          </cell>
          <cell r="B1552" t="str">
            <v>AL ITKANE Coudes 10KG</v>
          </cell>
        </row>
        <row r="1553">
          <cell r="A1553" t="str">
            <v>ART00372</v>
          </cell>
          <cell r="B1553" t="str">
            <v>AL ITKANE Petit Plomb 10KG</v>
          </cell>
        </row>
        <row r="1554">
          <cell r="A1554" t="str">
            <v>ART00373</v>
          </cell>
          <cell r="B1554" t="str">
            <v>AL ITKANE Torsade 10KG</v>
          </cell>
        </row>
        <row r="1555">
          <cell r="A1555" t="str">
            <v>ART00374</v>
          </cell>
          <cell r="B1555" t="str">
            <v>AL ITKANE Etoiles 10KG</v>
          </cell>
        </row>
        <row r="1588">
          <cell r="A1588" t="str">
            <v>ART00409</v>
          </cell>
          <cell r="B1588" t="str">
            <v>DALAA Pack Bakal Taille 4 76U+4U GRT</v>
          </cell>
        </row>
        <row r="1589">
          <cell r="A1589" t="str">
            <v>ART00410</v>
          </cell>
          <cell r="B1589" t="str">
            <v>DALAA Pack Bakal Taille 5 68U+6U GRT</v>
          </cell>
        </row>
        <row r="1652">
          <cell r="A1652" t="str">
            <v>ART00525</v>
          </cell>
          <cell r="B1652" t="str">
            <v>TOBIGO Donut Chocolat *30</v>
          </cell>
        </row>
        <row r="1673">
          <cell r="A1673" t="str">
            <v>ART00509</v>
          </cell>
          <cell r="B1673" t="str">
            <v>PRIMA Couches Adultes Medium 9U</v>
          </cell>
        </row>
        <row r="1675">
          <cell r="A1675" t="str">
            <v>ART00512</v>
          </cell>
          <cell r="B1675" t="str">
            <v>PRIMA Couches Adultes Large 9U</v>
          </cell>
        </row>
        <row r="1676">
          <cell r="A1676" t="str">
            <v>ART00514</v>
          </cell>
          <cell r="B1676" t="str">
            <v>AL ITKANE Couscous Moyen 500G</v>
          </cell>
        </row>
        <row r="1677">
          <cell r="A1677" t="str">
            <v>ART00515</v>
          </cell>
          <cell r="B1677" t="str">
            <v>AL ITKANE Couscous Moyen 1KG</v>
          </cell>
        </row>
        <row r="1678">
          <cell r="A1678" t="str">
            <v>ART00517</v>
          </cell>
          <cell r="B1678" t="str">
            <v>AL ITKANE Couscous Fin 1KG</v>
          </cell>
        </row>
        <row r="1684">
          <cell r="A1684" t="str">
            <v>ART00523</v>
          </cell>
          <cell r="B1684" t="str">
            <v>TOBIGO Muffins Chocolat</v>
          </cell>
        </row>
        <row r="1685">
          <cell r="A1685" t="str">
            <v>ART00524</v>
          </cell>
          <cell r="B1685" t="str">
            <v>TOBIGO Tartlet Chocolat</v>
          </cell>
        </row>
        <row r="1689">
          <cell r="A1689" t="str">
            <v>ART00530</v>
          </cell>
          <cell r="B1689" t="str">
            <v>TOBIGO Crousty Chocolat</v>
          </cell>
        </row>
        <row r="1690">
          <cell r="A1690" t="str">
            <v>ART00531</v>
          </cell>
          <cell r="B1690" t="str">
            <v>TOBIGO Crousty Framboise</v>
          </cell>
        </row>
        <row r="1691">
          <cell r="A1691" t="str">
            <v>ART00532</v>
          </cell>
          <cell r="B1691" t="str">
            <v>TOBIGO Bleo Bubble Gum</v>
          </cell>
        </row>
        <row r="1692">
          <cell r="A1692" t="str">
            <v>ART00533</v>
          </cell>
          <cell r="B1692" t="str">
            <v>AL ITKANE Cheveux d'ange Extra Fin Caisse 10KG</v>
          </cell>
        </row>
        <row r="1708">
          <cell r="A1708" t="str">
            <v>ART00546</v>
          </cell>
          <cell r="B1708" t="str">
            <v>AL ITKANE Farine Fleur Blé Tendre 5KG</v>
          </cell>
        </row>
        <row r="1709">
          <cell r="A1709" t="str">
            <v>ART00547</v>
          </cell>
          <cell r="B1709" t="str">
            <v>AL ITKANE Farine Fleur Blé Tendre 10KG</v>
          </cell>
        </row>
        <row r="1826">
          <cell r="A1826" t="str">
            <v>ART00675</v>
          </cell>
          <cell r="B1826" t="str">
            <v>MIA Maxi Plus Normal Mauve</v>
          </cell>
        </row>
        <row r="1833">
          <cell r="A1833" t="str">
            <v>ART00682</v>
          </cell>
          <cell r="B1833" t="str">
            <v>TOBIGO Donut Chocolat *24</v>
          </cell>
        </row>
        <row r="1898">
          <cell r="A1898" t="str">
            <v>ART00744</v>
          </cell>
          <cell r="B1898" t="str">
            <v>TOBIGO Mini Crousty Chocolat 90G</v>
          </cell>
        </row>
        <row r="1899">
          <cell r="A1899" t="str">
            <v>ART00745</v>
          </cell>
          <cell r="B1899" t="str">
            <v>TOBIGO Mini Crousty Vanille 90G</v>
          </cell>
        </row>
        <row r="1954">
          <cell r="A1954" t="str">
            <v>ART00807</v>
          </cell>
          <cell r="B1954" t="str">
            <v>AL ITKANE Farine Fleur Blé Tendre 25KG - Laminé</v>
          </cell>
        </row>
        <row r="1956">
          <cell r="A1956" t="str">
            <v>ART00810</v>
          </cell>
          <cell r="B1956" t="str">
            <v>TOBIGO Roundy Vanille</v>
          </cell>
        </row>
        <row r="1957">
          <cell r="A1957" t="str">
            <v>ART00811</v>
          </cell>
          <cell r="B1957" t="str">
            <v>TOBIGO Waffle Chocolat</v>
          </cell>
        </row>
        <row r="2001">
          <cell r="A2001" t="str">
            <v>ART00857</v>
          </cell>
          <cell r="B2001" t="str">
            <v>MIA Maxi Plus Long Cotton Touch</v>
          </cell>
        </row>
        <row r="2077">
          <cell r="A2077" t="str">
            <v>ART00953</v>
          </cell>
          <cell r="B2077" t="str">
            <v>TOBIGO Igloo Cake</v>
          </cell>
        </row>
        <row r="2084">
          <cell r="A2084" t="str">
            <v>ART00955</v>
          </cell>
          <cell r="B2084" t="str">
            <v>DALAA Pack Bakal Taille 4 76U</v>
          </cell>
        </row>
        <row r="2095">
          <cell r="A2095" t="str">
            <v>ART00969</v>
          </cell>
          <cell r="B2095" t="str">
            <v>TOBIGO Crousty Cherry Cola</v>
          </cell>
        </row>
        <row r="2105">
          <cell r="A2105" t="str">
            <v>ART00979</v>
          </cell>
          <cell r="B2105" t="str">
            <v>TOBIGO Crousty Bubble Gum</v>
          </cell>
        </row>
        <row r="2265">
          <cell r="A2265" t="str">
            <v>ART01131</v>
          </cell>
          <cell r="B2265" t="str">
            <v>DALAA Couches RP Taille 5 14U</v>
          </cell>
        </row>
        <row r="2280">
          <cell r="A2280" t="str">
            <v>ART01161</v>
          </cell>
          <cell r="B2280" t="str">
            <v>TOBIGO Donut Cacao Framboise * 24</v>
          </cell>
        </row>
        <row r="2310">
          <cell r="A2310" t="str">
            <v>ART01192</v>
          </cell>
          <cell r="B2310" t="str">
            <v>SHIWAMIE Nouilles Instantanée Légumes 70G</v>
          </cell>
        </row>
        <row r="2311">
          <cell r="A2311" t="str">
            <v>ART01193</v>
          </cell>
          <cell r="B2311" t="str">
            <v>SHIWAMIE Nouilles Instantanée Crevettes 70G</v>
          </cell>
        </row>
        <row r="2312">
          <cell r="A2312" t="str">
            <v>ART01194</v>
          </cell>
          <cell r="B2312" t="str">
            <v>SHIWAMIE Nouilles Instantanée Poulet 70G</v>
          </cell>
        </row>
        <row r="2313">
          <cell r="A2313" t="str">
            <v>ART01195</v>
          </cell>
          <cell r="B2313" t="str">
            <v>SHIWAMIE Nouilles Instantanée Bœuf 70G</v>
          </cell>
        </row>
        <row r="2319">
          <cell r="A2319" t="str">
            <v>ART01201</v>
          </cell>
          <cell r="B2319" t="str">
            <v>DALAA Couches VP Taille 2 56U+2U GRT</v>
          </cell>
        </row>
        <row r="2320">
          <cell r="A2320" t="str">
            <v>ART01202</v>
          </cell>
          <cell r="B2320" t="str">
            <v>DALAA Couches VP Taille 3 46U+2U GRT</v>
          </cell>
        </row>
        <row r="2321">
          <cell r="A2321" t="str">
            <v>ART01204</v>
          </cell>
          <cell r="B2321" t="str">
            <v>DALAA Couches VP Taille 5 36U+2U GRT</v>
          </cell>
        </row>
        <row r="2322">
          <cell r="A2322" t="str">
            <v>ART01205</v>
          </cell>
          <cell r="B2322" t="str">
            <v>DALAA Couches VP Taille 6 30U+2U GRT</v>
          </cell>
        </row>
        <row r="2328">
          <cell r="A2328" t="str">
            <v>ART01206</v>
          </cell>
          <cell r="B2328" t="str">
            <v>NOVA Comfot Large 10U</v>
          </cell>
        </row>
        <row r="2329">
          <cell r="A2329" t="str">
            <v>ART01210</v>
          </cell>
          <cell r="B2329" t="str">
            <v>NOVA Couche Culottes Large 9U - Pack Mauve</v>
          </cell>
        </row>
        <row r="2330">
          <cell r="A2330" t="str">
            <v>ART01211</v>
          </cell>
          <cell r="B2330" t="str">
            <v>NOVA Premium Large 9U - Pack Blanc</v>
          </cell>
        </row>
        <row r="2422">
          <cell r="A2422" t="str">
            <v>ART01304</v>
          </cell>
          <cell r="B2422" t="str">
            <v>CALIN Couches VP Taille 2 - 66 Couches</v>
          </cell>
        </row>
        <row r="2423">
          <cell r="A2423" t="str">
            <v>ART01305</v>
          </cell>
          <cell r="B2423" t="str">
            <v>CALIN Couches VP Taille 3 - 56 Couches</v>
          </cell>
        </row>
        <row r="2424">
          <cell r="A2424" t="str">
            <v>ART01306</v>
          </cell>
          <cell r="B2424" t="str">
            <v>CALIN Couches VP Taille 4 - 52 Couches</v>
          </cell>
        </row>
        <row r="2426">
          <cell r="A2426" t="str">
            <v>ART01307</v>
          </cell>
          <cell r="B2426" t="str">
            <v>CALIN Couches VP Taille 5 - 42 Couches</v>
          </cell>
        </row>
        <row r="2427">
          <cell r="A2427" t="str">
            <v>ART01308</v>
          </cell>
          <cell r="B2427" t="str">
            <v>CALIN Couches VP Taille 6 - 36 Couches</v>
          </cell>
        </row>
        <row r="2430">
          <cell r="A2430" t="str">
            <v>ART01311</v>
          </cell>
          <cell r="B2430" t="str">
            <v>DALAA Couche Colis Skhawa 3U Taille 4 + 1U VP Taille 5 + Mouchoir Poche Gratuit (1CS = 1U)</v>
          </cell>
        </row>
        <row r="2437">
          <cell r="A2437" t="str">
            <v>ART01318</v>
          </cell>
          <cell r="B2437" t="str">
            <v>CALIN Couches RP Limited Edition Disney Taille 4</v>
          </cell>
        </row>
        <row r="2443">
          <cell r="A2443" t="str">
            <v>ART01326</v>
          </cell>
          <cell r="B2443" t="str">
            <v>CALIN Couches RP Limited Edition Disney Taille 5</v>
          </cell>
        </row>
        <row r="2444">
          <cell r="A2444" t="str">
            <v>ART01327</v>
          </cell>
          <cell r="B2444" t="str">
            <v>CALIN Couches RP Limited Edition Disney Taille 3</v>
          </cell>
        </row>
        <row r="2445">
          <cell r="A2445" t="str">
            <v>ART01328</v>
          </cell>
          <cell r="B2445" t="str">
            <v>CALIN Couches RP Limited Edition Disney Taille 2</v>
          </cell>
        </row>
        <row r="2491">
          <cell r="A2491" t="str">
            <v>ART01375</v>
          </cell>
          <cell r="B2491" t="str">
            <v>CALIN Special Care RP Taille 1 - 35 Couches</v>
          </cell>
        </row>
        <row r="2492">
          <cell r="A2492" t="str">
            <v>ART01376</v>
          </cell>
          <cell r="B2492" t="str">
            <v>CALIN Special Care RP Taille 2 - 38 Couches</v>
          </cell>
        </row>
        <row r="2493">
          <cell r="A2493" t="str">
            <v>ART01377</v>
          </cell>
          <cell r="B2493" t="str">
            <v>CALIN Special Care RP Taille 3 - 34 Couches</v>
          </cell>
        </row>
        <row r="2494">
          <cell r="A2494" t="str">
            <v>ART01378</v>
          </cell>
          <cell r="B2494" t="str">
            <v>CALIN Special Care RP Taille 4 - 30 Couches</v>
          </cell>
        </row>
        <row r="2495">
          <cell r="A2495" t="str">
            <v>ART01379</v>
          </cell>
          <cell r="B2495" t="str">
            <v>CALIN Special Care RP Taille 5 - 28 Couches</v>
          </cell>
        </row>
        <row r="2496">
          <cell r="A2496" t="str">
            <v>ART01380</v>
          </cell>
          <cell r="B2496" t="str">
            <v>CALIN Special Care RP Taille 6 - 22 Couches</v>
          </cell>
        </row>
        <row r="2499">
          <cell r="A2499" t="str">
            <v>ART01389</v>
          </cell>
          <cell r="B2499" t="str">
            <v>SANGO Nettoyant Sol 1L Fresh Rose</v>
          </cell>
        </row>
        <row r="2500">
          <cell r="A2500" t="str">
            <v>ART01390</v>
          </cell>
          <cell r="B2500" t="str">
            <v>SANGO Nettoyant Sol 1L Fleur d'Oranger</v>
          </cell>
        </row>
        <row r="2501">
          <cell r="A2501" t="str">
            <v>ART01391</v>
          </cell>
          <cell r="B2501" t="str">
            <v>SANGO Nettoyant Sol 1L Citron</v>
          </cell>
        </row>
        <row r="2502">
          <cell r="A2502" t="str">
            <v>ART01392</v>
          </cell>
          <cell r="B2502" t="str">
            <v>SANGO Nettoyant Sol 1L Lavande</v>
          </cell>
        </row>
        <row r="2508">
          <cell r="A2508" t="str">
            <v>ART01398</v>
          </cell>
          <cell r="B2508" t="str">
            <v>DALAA Couche Colis Skhawa 4U VP Taille 3 (46 Couches) + 1 Pack RP Taille 3 (18 Couches)</v>
          </cell>
        </row>
        <row r="2509">
          <cell r="A2509" t="str">
            <v>ART01399</v>
          </cell>
          <cell r="B2509" t="str">
            <v>DALAA Couche Colis Skhawa 4U VP Taille 4 (42 Couches) + 1 Pack RP Taille 4 (16 Couches)</v>
          </cell>
        </row>
        <row r="2510">
          <cell r="A2510" t="str">
            <v>ART01401</v>
          </cell>
          <cell r="B2510" t="str">
            <v>DALAA Couche Colis Skhawa 4U VP Taille 5 (36 Couches) + 1 Pack RP Taille 5 (14 Couches)</v>
          </cell>
        </row>
        <row r="2514">
          <cell r="A2514" t="str">
            <v>ART01402</v>
          </cell>
          <cell r="B2514" t="str">
            <v>DALAA Couche Colis Skhawa 4U VP Taille 6 (30 Couches) + 1 Pack RP Taille 5 (14 Couches)</v>
          </cell>
        </row>
        <row r="2557">
          <cell r="A2557" t="str">
            <v>ART01448</v>
          </cell>
          <cell r="B2557" t="str">
            <v>DALAA Colis Skhawa 4U VP Taille 5 (36 Couches + 2U GRT) + 1U Dalaa Mouchoir 550 + Wooly Mouchoir Poche Pack 15U</v>
          </cell>
        </row>
        <row r="2562">
          <cell r="A2562" t="str">
            <v>ART01454</v>
          </cell>
          <cell r="B2562" t="str">
            <v>TOBIGO Crousty All Black</v>
          </cell>
        </row>
        <row r="2573">
          <cell r="A2573" t="str">
            <v>ART01453</v>
          </cell>
          <cell r="B2573" t="str">
            <v>NOVA Couches Adultes Medium 9U</v>
          </cell>
        </row>
        <row r="2583">
          <cell r="A2583" t="str">
            <v>ART01475</v>
          </cell>
          <cell r="B2583" t="str">
            <v>TOBIGO Igloo Cake 24U</v>
          </cell>
        </row>
        <row r="2584">
          <cell r="A2584" t="str">
            <v>ART01476</v>
          </cell>
          <cell r="B2584" t="str">
            <v>TOBIGO Waffle Banane</v>
          </cell>
        </row>
        <row r="2675">
          <cell r="A2675" t="str">
            <v>ART02696</v>
          </cell>
          <cell r="B2675" t="str">
            <v>MIO  Poudre Matic  Floral 400g</v>
          </cell>
        </row>
        <row r="2688">
          <cell r="A2688" t="str">
            <v>ART02300</v>
          </cell>
          <cell r="B2688" t="str">
            <v>MIA Maxi Normal Mauve 10*24</v>
          </cell>
        </row>
        <row r="2689">
          <cell r="A2689" t="str">
            <v>ART02140</v>
          </cell>
          <cell r="B2689" t="str">
            <v>Mia Maxi Long Rose 9*24</v>
          </cell>
        </row>
        <row r="2758">
          <cell r="A2758" t="str">
            <v>ART02965</v>
          </cell>
          <cell r="B2758" t="str">
            <v>CS-SANGO Nettoyant Sol 1L Citron</v>
          </cell>
        </row>
        <row r="2759">
          <cell r="A2759" t="str">
            <v>ART02951</v>
          </cell>
          <cell r="B2759" t="str">
            <v>CS-DALAA Couches VP Taille 3</v>
          </cell>
        </row>
        <row r="2760">
          <cell r="A2760" t="str">
            <v>ART02953</v>
          </cell>
          <cell r="B2760" t="str">
            <v>CS-DALAA Couches VP Taille 4</v>
          </cell>
        </row>
        <row r="2761">
          <cell r="A2761" t="str">
            <v>ART02952</v>
          </cell>
          <cell r="B2761" t="str">
            <v>CS-DALAA Couches VP Taille 5</v>
          </cell>
        </row>
        <row r="2762">
          <cell r="A2762" t="str">
            <v>ART02950</v>
          </cell>
          <cell r="B2762" t="str">
            <v>CS-DALAA Couches VP Taille 2</v>
          </cell>
        </row>
        <row r="2764">
          <cell r="A2764" t="str">
            <v>ART02946</v>
          </cell>
          <cell r="B2764" t="str">
            <v>CS-CALIN Couches VP Taille 3 42U + 4 GRT</v>
          </cell>
        </row>
        <row r="2765">
          <cell r="A2765" t="str">
            <v>ART02947</v>
          </cell>
          <cell r="B2765" t="str">
            <v>CS-CALIN Couches VP Taille 4 36U +4 GRT</v>
          </cell>
        </row>
        <row r="2766">
          <cell r="A2766" t="str">
            <v>ART02948</v>
          </cell>
          <cell r="B2766" t="str">
            <v>CS-CALIN Couches VP Taille 5 28U +4 GRT</v>
          </cell>
        </row>
        <row r="2769">
          <cell r="A2769" t="str">
            <v>ART02960</v>
          </cell>
          <cell r="B2769" t="str">
            <v>CS-DALAA Couches RP Taille 6  11U</v>
          </cell>
        </row>
        <row r="2770">
          <cell r="A2770" t="str">
            <v>ART02949</v>
          </cell>
          <cell r="B2770" t="str">
            <v>CS-DALAA Couches VP Taille 6</v>
          </cell>
        </row>
        <row r="2771">
          <cell r="A2771" t="str">
            <v>ART02962</v>
          </cell>
          <cell r="B2771" t="str">
            <v>CS-DALAA Couches RP Taille 3 18U</v>
          </cell>
        </row>
        <row r="2773">
          <cell r="A2773" t="str">
            <v>ART02963</v>
          </cell>
          <cell r="B2773" t="str">
            <v>CS-DALAA Couches RP Taille 2  22U</v>
          </cell>
        </row>
        <row r="2776">
          <cell r="A2776" t="str">
            <v>ART03603</v>
          </cell>
          <cell r="B2776" t="str">
            <v>Douceur Boite Mouchoir Flowers  2 plis 600</v>
          </cell>
        </row>
        <row r="2777">
          <cell r="A2777" t="str">
            <v>ART02945</v>
          </cell>
          <cell r="B2777" t="str">
            <v>CS-CALIN Couches VP Taille 2 50U +4 GRT</v>
          </cell>
        </row>
        <row r="2778">
          <cell r="A2778" t="str">
            <v>ART02942</v>
          </cell>
          <cell r="B2778" t="str">
            <v>CS-NOVA Couches Adultes Large 20U</v>
          </cell>
        </row>
        <row r="2781">
          <cell r="A2781" t="str">
            <v>ART02961</v>
          </cell>
          <cell r="B2781" t="str">
            <v>CS-DALAA Couches RP Taille 4 16U</v>
          </cell>
        </row>
        <row r="2782">
          <cell r="A2782" t="str">
            <v>ART02966</v>
          </cell>
          <cell r="B2782" t="str">
            <v>CS-SANGO Nettoyant Sol 1L Fleur d'Oranger</v>
          </cell>
        </row>
        <row r="2783">
          <cell r="A2783" t="str">
            <v>ART02967</v>
          </cell>
          <cell r="B2783" t="str">
            <v>CS-SANGO Nettoyant Sol 1L Lavande</v>
          </cell>
        </row>
        <row r="2784">
          <cell r="A2784" t="str">
            <v>ART02968</v>
          </cell>
          <cell r="B2784" t="str">
            <v>CS-SANGO Nettoyant Sol 1L Rose</v>
          </cell>
        </row>
        <row r="2785">
          <cell r="A2785" t="str">
            <v>ART02969</v>
          </cell>
          <cell r="B2785" t="str">
            <v>CS-Sango Nettoyant sol Oud 1L</v>
          </cell>
        </row>
        <row r="2786">
          <cell r="A2786" t="str">
            <v>ART02970</v>
          </cell>
          <cell r="B2786" t="str">
            <v>CS-Sango Nettoyant sol Ocean 1L</v>
          </cell>
        </row>
        <row r="2787">
          <cell r="A2787" t="str">
            <v>ART02971</v>
          </cell>
          <cell r="B2787" t="str">
            <v>CS-Sango Nettoyant sol Vanille 1L</v>
          </cell>
        </row>
        <row r="2788">
          <cell r="A2788" t="str">
            <v>ART02974</v>
          </cell>
          <cell r="B2788" t="str">
            <v>CS-Mia Serviette Hygiénique Maxi Normal 15U</v>
          </cell>
        </row>
        <row r="2812">
          <cell r="A2812" t="str">
            <v>ART02983</v>
          </cell>
          <cell r="B2812" t="str">
            <v>DALAA Pack Bakal Taille 5 66+4U GRT</v>
          </cell>
        </row>
        <row r="2835">
          <cell r="A2835" t="str">
            <v>ART02973</v>
          </cell>
          <cell r="B2835" t="str">
            <v>CS-Mia Serviette Hygiénique Long T 14U</v>
          </cell>
        </row>
        <row r="2901">
          <cell r="A2901" t="str">
            <v>ART02959</v>
          </cell>
          <cell r="B2901" t="str">
            <v>CS-DALAA Couches RP Taille 5 14U</v>
          </cell>
        </row>
        <row r="2930">
          <cell r="A2930" t="str">
            <v>ART02713</v>
          </cell>
          <cell r="B2930" t="str">
            <v>MIO Javel  5L Régulier</v>
          </cell>
        </row>
        <row r="2931">
          <cell r="A2931" t="str">
            <v>ART02714</v>
          </cell>
          <cell r="B2931" t="str">
            <v>MIO Javel  2.5L Régulier</v>
          </cell>
        </row>
        <row r="2976">
          <cell r="A2976" t="str">
            <v>ART00297</v>
          </cell>
          <cell r="B2976" t="str">
            <v>MIO Eau de Javel 1L Normal</v>
          </cell>
        </row>
        <row r="2977">
          <cell r="A2977" t="str">
            <v>ART00299</v>
          </cell>
          <cell r="B2977" t="str">
            <v>MIO Détérgent Semi Auto 500g*20 Citron</v>
          </cell>
        </row>
        <row r="2978">
          <cell r="A2978" t="str">
            <v>ART00300</v>
          </cell>
          <cell r="B2978" t="str">
            <v>MIO Détérgent Semi Auto 500g*20 Rose</v>
          </cell>
        </row>
        <row r="2980">
          <cell r="A2980" t="str">
            <v>ART01973</v>
          </cell>
          <cell r="B2980" t="str">
            <v>MIO Liquide Vaisselle Lavande 300G</v>
          </cell>
        </row>
        <row r="2981">
          <cell r="A2981" t="str">
            <v>ART01974</v>
          </cell>
          <cell r="B2981" t="str">
            <v>MIO Liquide Vaisselle Citron 750GX12</v>
          </cell>
        </row>
        <row r="2986">
          <cell r="A2986" t="str">
            <v>ART01981</v>
          </cell>
          <cell r="B2986" t="str">
            <v>MIO Liquide Vaisselle Citron 1250GX12</v>
          </cell>
        </row>
        <row r="2987">
          <cell r="A2987" t="str">
            <v>ART01982</v>
          </cell>
          <cell r="B2987" t="str">
            <v>MIO Liquide Vaisselle Lavande 1250GX12</v>
          </cell>
        </row>
        <row r="2988">
          <cell r="A2988" t="str">
            <v>ART01985</v>
          </cell>
          <cell r="B2988" t="str">
            <v>MIO Savon pate Citron 500GX24</v>
          </cell>
        </row>
        <row r="2992">
          <cell r="A2992" t="str">
            <v>ART01989</v>
          </cell>
          <cell r="B2992" t="str">
            <v>MIO Javel Eclat &amp; Blancheur Régulier 18X1L</v>
          </cell>
        </row>
        <row r="2993">
          <cell r="A2993" t="str">
            <v>ART01990</v>
          </cell>
          <cell r="B2993" t="str">
            <v>MIO Javel Eclat &amp; Blancheur Citron 18X1L</v>
          </cell>
        </row>
        <row r="2997">
          <cell r="A2997" t="str">
            <v>ART02027</v>
          </cell>
          <cell r="B2997" t="str">
            <v>MIO Liquide vaisselle 750 ml lavande</v>
          </cell>
        </row>
        <row r="3000">
          <cell r="A3000" t="str">
            <v>ART02701</v>
          </cell>
          <cell r="B3000" t="str">
            <v>MIO Liquide Vaisselle 750g Aloe Vera</v>
          </cell>
        </row>
        <row r="3001">
          <cell r="A3001" t="str">
            <v>ART02702</v>
          </cell>
          <cell r="B3001" t="str">
            <v>MIO Liquide Vaisselle 300g Aloe Vera</v>
          </cell>
        </row>
        <row r="3002">
          <cell r="A3002" t="str">
            <v>ART02703</v>
          </cell>
          <cell r="B3002" t="str">
            <v>MIO Liquide Vaisselle 1250g Pomme</v>
          </cell>
        </row>
        <row r="3003">
          <cell r="A3003" t="str">
            <v>ART02704</v>
          </cell>
          <cell r="B3003" t="str">
            <v>MIO Liquide Vaisselle 750g Pomme</v>
          </cell>
        </row>
        <row r="3004">
          <cell r="A3004" t="str">
            <v>ART02705</v>
          </cell>
          <cell r="B3004" t="str">
            <v>MIO Liquide Vaisselle 300g Pomme</v>
          </cell>
        </row>
        <row r="3005">
          <cell r="A3005" t="str">
            <v>ART02706</v>
          </cell>
          <cell r="B3005" t="str">
            <v>MIO Liquide Vaisselle 1250g Fraise</v>
          </cell>
        </row>
        <row r="3006">
          <cell r="A3006" t="str">
            <v>ART02707</v>
          </cell>
          <cell r="B3006" t="str">
            <v>MIO Liquide Vaisselle 750g Fraise</v>
          </cell>
        </row>
        <row r="3007">
          <cell r="A3007" t="str">
            <v>ART02708</v>
          </cell>
          <cell r="B3007" t="str">
            <v>MIO Liquide Vaisselle 300g Fraise</v>
          </cell>
        </row>
        <row r="3008">
          <cell r="A3008" t="str">
            <v>ART02709</v>
          </cell>
          <cell r="B3008" t="str">
            <v>MIO Javel  5L Citron</v>
          </cell>
        </row>
        <row r="3009">
          <cell r="A3009" t="str">
            <v>ART02715</v>
          </cell>
          <cell r="B3009" t="str">
            <v>MIO Javel  5L Pin</v>
          </cell>
        </row>
        <row r="3010">
          <cell r="A3010" t="str">
            <v>ART02716</v>
          </cell>
          <cell r="B3010" t="str">
            <v>MIO Javel  2.5L Pin</v>
          </cell>
        </row>
        <row r="3011">
          <cell r="A3011" t="str">
            <v>ART02717</v>
          </cell>
          <cell r="B3011" t="str">
            <v>MIO Javel 1L Pin</v>
          </cell>
        </row>
        <row r="3021">
          <cell r="A3021" t="str">
            <v>ART03989</v>
          </cell>
          <cell r="B3021" t="str">
            <v>MIA Cotton Touch Serviettes Hygieniques Ultra Slim Nuit 7U</v>
          </cell>
        </row>
        <row r="3024">
          <cell r="A3024" t="str">
            <v>ART02692</v>
          </cell>
          <cell r="B3024" t="str">
            <v>MIO Poudre Matic  Floral 7.5kg</v>
          </cell>
        </row>
        <row r="3025">
          <cell r="A3025" t="str">
            <v>ART01991</v>
          </cell>
          <cell r="B3025" t="str">
            <v>MIO Javel Eclat &amp; Blancheur Lavande 18X1L</v>
          </cell>
        </row>
        <row r="3045">
          <cell r="A3045" t="str">
            <v>ART03988</v>
          </cell>
          <cell r="B3045" t="str">
            <v>MIA Cotton Touch Serviettes Hygieniques Ultra Slim Long 8U</v>
          </cell>
        </row>
        <row r="3059">
          <cell r="A3059" t="str">
            <v>ART02943</v>
          </cell>
          <cell r="B3059" t="str">
            <v>CS-PRIMA Couches Adultes Large 9U</v>
          </cell>
        </row>
        <row r="3060">
          <cell r="A3060" t="str">
            <v>ART02944</v>
          </cell>
          <cell r="B3060" t="str">
            <v>CS-PRIMA Couches Adultes Medium 9U</v>
          </cell>
        </row>
        <row r="3098">
          <cell r="A3098" t="str">
            <v>ART03148</v>
          </cell>
          <cell r="B3098" t="str">
            <v>AL ITKANE Cheveux d'ange 1Kg</v>
          </cell>
        </row>
        <row r="3114">
          <cell r="A3114" t="str">
            <v>ART03193</v>
          </cell>
          <cell r="B3114" t="str">
            <v>DALAA VP Taille 7 26U</v>
          </cell>
        </row>
        <row r="3115">
          <cell r="A3115" t="str">
            <v>ART00053</v>
          </cell>
          <cell r="B3115" t="str">
            <v>CALIN Couches RP Taille 6</v>
          </cell>
        </row>
        <row r="3116">
          <cell r="A3116" t="str">
            <v>ART03203</v>
          </cell>
          <cell r="B3116" t="str">
            <v>DALAA Couches VP Taille 5-Pack Vert</v>
          </cell>
        </row>
        <row r="3117">
          <cell r="A3117" t="str">
            <v>ART03204</v>
          </cell>
          <cell r="B3117" t="str">
            <v>DALAA Couches VP Taille 6-Pack Vert</v>
          </cell>
        </row>
        <row r="3118">
          <cell r="A3118" t="str">
            <v>ART03205</v>
          </cell>
          <cell r="B3118" t="str">
            <v>DALAA Couches VP Taille 3-Pack Vert</v>
          </cell>
        </row>
        <row r="3119">
          <cell r="A3119" t="str">
            <v>ART03180</v>
          </cell>
          <cell r="B3119" t="str">
            <v>DALAA Couches VP Taille 4-Pack Vert</v>
          </cell>
        </row>
        <row r="3145">
          <cell r="A3145" t="str">
            <v>ART02695</v>
          </cell>
          <cell r="B3145" t="str">
            <v>MIO Poudre Matic  Floral 750g+150G Gratuit</v>
          </cell>
        </row>
        <row r="3171">
          <cell r="A3171" t="str">
            <v>ART03163</v>
          </cell>
          <cell r="B3171" t="str">
            <v>DALAA Pack Bakal Taille 6 56+4U GRT</v>
          </cell>
        </row>
        <row r="3176">
          <cell r="A3176" t="str">
            <v>ART02972</v>
          </cell>
          <cell r="B3176" t="str">
            <v>CS-Mia Serviette Hygiénique Maxi Nuit  12U</v>
          </cell>
        </row>
        <row r="3180">
          <cell r="A3180" t="str">
            <v>ART03164</v>
          </cell>
          <cell r="B3180" t="str">
            <v>NOVA Couche Culottes Large 9U - Pack Mauve</v>
          </cell>
        </row>
        <row r="3195">
          <cell r="A3195" t="str">
            <v>ART01971</v>
          </cell>
          <cell r="B3195" t="str">
            <v>MIO Poudre Rose 16X500G+1GRT</v>
          </cell>
        </row>
        <row r="3204">
          <cell r="A3204" t="str">
            <v>ART02694</v>
          </cell>
          <cell r="B3204" t="str">
            <v>MIO Poudre Matic  Floral 3Kg</v>
          </cell>
        </row>
        <row r="3230">
          <cell r="A3230" t="str">
            <v>CF35524</v>
          </cell>
          <cell r="B3230" t="str">
            <v>TOBIGO DONUT CACAOTE FRAMBOISE 24UN - NC</v>
          </cell>
        </row>
        <row r="3232">
          <cell r="A3232" t="str">
            <v>CF35525</v>
          </cell>
          <cell r="B3232" t="str">
            <v>TOBIGO IGLO 24 UNITÉS   - NC</v>
          </cell>
        </row>
        <row r="3233">
          <cell r="A3233" t="str">
            <v>CF35529</v>
          </cell>
          <cell r="B3233" t="str">
            <v>TOBIGO MUFFINS VANILLE 30 UN</v>
          </cell>
        </row>
        <row r="3234">
          <cell r="A3234" t="str">
            <v>CF35531</v>
          </cell>
          <cell r="B3234" t="str">
            <v>TOBIGO GÉNIO CACAOTÉ 32 UN</v>
          </cell>
        </row>
        <row r="3245">
          <cell r="A3245" t="str">
            <v>CF33017</v>
          </cell>
          <cell r="B3245" t="str">
            <v>Torsette 500G Alitkane</v>
          </cell>
        </row>
        <row r="3248">
          <cell r="A3248" t="str">
            <v>CF33018</v>
          </cell>
          <cell r="B3248" t="str">
            <v>Vermicelle Moyen 500G Alitkane</v>
          </cell>
        </row>
        <row r="3250">
          <cell r="A3250" t="str">
            <v>CF33019</v>
          </cell>
          <cell r="B3250" t="str">
            <v>Vermicelle Fin 500G Alitkane</v>
          </cell>
        </row>
        <row r="3251">
          <cell r="A3251" t="str">
            <v>CF33020</v>
          </cell>
          <cell r="B3251" t="str">
            <v>Vermicelle Gros 500G Alitkane</v>
          </cell>
        </row>
        <row r="3254">
          <cell r="A3254" t="str">
            <v>CF33000</v>
          </cell>
          <cell r="B3254" t="str">
            <v>Couscous Moyen 1KG Alitkane 15*1KG</v>
          </cell>
        </row>
        <row r="3255">
          <cell r="A3255" t="str">
            <v>CF33002</v>
          </cell>
          <cell r="B3255" t="str">
            <v>Couscous Moyen 500G Alitkane</v>
          </cell>
        </row>
        <row r="3256">
          <cell r="A3256" t="str">
            <v>CF33003</v>
          </cell>
          <cell r="B3256" t="str">
            <v>Couscous Fin 1KG Alitkane</v>
          </cell>
        </row>
        <row r="3257">
          <cell r="A3257" t="str">
            <v>CF33005</v>
          </cell>
          <cell r="B3257" t="str">
            <v>Couscous Fin 500G Alitkane</v>
          </cell>
        </row>
        <row r="3258">
          <cell r="A3258" t="str">
            <v>CF33006</v>
          </cell>
          <cell r="B3258" t="str">
            <v>Couscous Complet  1KG Alitkane</v>
          </cell>
        </row>
        <row r="3259">
          <cell r="A3259" t="str">
            <v>CF33009</v>
          </cell>
          <cell r="B3259" t="str">
            <v>Couscous Moyen 25KG Alitkane</v>
          </cell>
        </row>
        <row r="3260">
          <cell r="A3260" t="str">
            <v>CF33010</v>
          </cell>
          <cell r="B3260" t="str">
            <v>Couscous Moyen10KG Alitkane</v>
          </cell>
        </row>
        <row r="3261">
          <cell r="A3261" t="str">
            <v>CF33011</v>
          </cell>
          <cell r="B3261" t="str">
            <v>Couscous Fin 10KG Alitkane</v>
          </cell>
        </row>
        <row r="3262">
          <cell r="A3262" t="str">
            <v>CF33013</v>
          </cell>
          <cell r="B3262" t="str">
            <v>Couscous Fin 25KG Alitkane</v>
          </cell>
        </row>
        <row r="3263">
          <cell r="A3263" t="str">
            <v>CF33014</v>
          </cell>
          <cell r="B3263" t="str">
            <v>Cheveux D'Ange 500G Alitkane</v>
          </cell>
        </row>
        <row r="3264">
          <cell r="A3264" t="str">
            <v>CF33015</v>
          </cell>
          <cell r="B3264" t="str">
            <v>Coquillette 500G Alitkane</v>
          </cell>
        </row>
        <row r="3265">
          <cell r="A3265" t="str">
            <v>CF33016</v>
          </cell>
          <cell r="B3265" t="str">
            <v>Coude 500G Alitkane</v>
          </cell>
        </row>
        <row r="3266">
          <cell r="A3266" t="str">
            <v>CF33021</v>
          </cell>
          <cell r="B3266" t="str">
            <v>P. Plomb 500G Alitkane</v>
          </cell>
        </row>
        <row r="3271">
          <cell r="A3271" t="str">
            <v>CF33022</v>
          </cell>
          <cell r="B3271" t="str">
            <v>Langues D'Oiseaux 500G Alitkane</v>
          </cell>
        </row>
        <row r="3273">
          <cell r="A3273" t="str">
            <v>CF33023</v>
          </cell>
          <cell r="B3273" t="str">
            <v>Etoiles 500G Alitkane</v>
          </cell>
        </row>
        <row r="3274">
          <cell r="A3274" t="str">
            <v>CF33024</v>
          </cell>
          <cell r="B3274" t="str">
            <v>Cheveux D'Ange 5KG Alitkane</v>
          </cell>
        </row>
        <row r="3275">
          <cell r="A3275" t="str">
            <v>CF33025</v>
          </cell>
          <cell r="B3275" t="str">
            <v>Cheveux D'Ange Lam 10 KG Alitkane</v>
          </cell>
        </row>
        <row r="3276">
          <cell r="A3276" t="str">
            <v>CF33026</v>
          </cell>
          <cell r="B3276" t="str">
            <v>Cheveux D'Ange Ct 10 KG Alitkane</v>
          </cell>
        </row>
        <row r="3277">
          <cell r="A3277" t="str">
            <v>CF33027</v>
          </cell>
          <cell r="B3277" t="str">
            <v>Cheveux D'Ange Extra Fin 10 KG Alitkane</v>
          </cell>
        </row>
        <row r="3278">
          <cell r="A3278" t="str">
            <v>CF33028</v>
          </cell>
          <cell r="B3278" t="str">
            <v>Coude 10 KG Alitkane</v>
          </cell>
        </row>
        <row r="3279">
          <cell r="A3279" t="str">
            <v>CF33029</v>
          </cell>
          <cell r="B3279" t="str">
            <v>Coquillette 10 KG Alitkane</v>
          </cell>
        </row>
        <row r="3280">
          <cell r="A3280" t="str">
            <v>ART02697</v>
          </cell>
          <cell r="B3280" t="str">
            <v>MIO Liquide Matic 3L Antibactérien</v>
          </cell>
        </row>
        <row r="3335">
          <cell r="A3335" t="str">
            <v>ART02698</v>
          </cell>
          <cell r="B3335" t="str">
            <v>MIO Liquide Matic 1L Antibactérien</v>
          </cell>
        </row>
        <row r="3337">
          <cell r="A3337" t="str">
            <v>ART02700</v>
          </cell>
          <cell r="B3337" t="str">
            <v>MIO Liquide Matic 1L Savon Marseille</v>
          </cell>
        </row>
        <row r="3338">
          <cell r="A3338" t="str">
            <v>ART02693</v>
          </cell>
          <cell r="B3338" t="str">
            <v>MIO Poudre Matic Floral 6kg</v>
          </cell>
        </row>
        <row r="3356">
          <cell r="A3356" t="str">
            <v>ART03189</v>
          </cell>
          <cell r="B3356" t="str">
            <v>NOVA Couche Culottes Medium 10U - Pack BLEU</v>
          </cell>
        </row>
        <row r="3357">
          <cell r="A3357" t="str">
            <v>ART03192</v>
          </cell>
          <cell r="B3357" t="str">
            <v>DALAA Essentials Pack Baqal Taille 4 76U</v>
          </cell>
        </row>
        <row r="3368">
          <cell r="A3368" t="str">
            <v>ART03703</v>
          </cell>
          <cell r="B3368" t="str">
            <v>TAKIS Chips Queso Volcano 90g</v>
          </cell>
        </row>
        <row r="3371">
          <cell r="A3371" t="str">
            <v>ART03210</v>
          </cell>
          <cell r="B3371" t="str">
            <v>Sango Nettoyant sol Oud 1L</v>
          </cell>
        </row>
        <row r="3372">
          <cell r="A3372" t="str">
            <v>ART03211</v>
          </cell>
          <cell r="B3372" t="str">
            <v>Sango Nettoyant sol Ocean 1L</v>
          </cell>
        </row>
        <row r="3373">
          <cell r="A3373" t="str">
            <v>ART03212</v>
          </cell>
          <cell r="B3373" t="str">
            <v>Sango Nettoyant sol Vanille 1L</v>
          </cell>
        </row>
        <row r="3381">
          <cell r="A3381" t="str">
            <v>ART03207</v>
          </cell>
          <cell r="B3381" t="str">
            <v>DALAA Couches RP Taille 6  11U</v>
          </cell>
        </row>
        <row r="3382">
          <cell r="A3382" t="str">
            <v>ART03208</v>
          </cell>
          <cell r="B3382" t="str">
            <v>DALAA Couches RP Taille 3 18U</v>
          </cell>
        </row>
        <row r="3383">
          <cell r="A3383" t="str">
            <v>ART03209</v>
          </cell>
          <cell r="B3383" t="str">
            <v>DALAA Couches RP Taille 2  22U</v>
          </cell>
        </row>
        <row r="3384">
          <cell r="A3384" t="str">
            <v>CF33030</v>
          </cell>
          <cell r="B3384" t="str">
            <v>Torsade 10 KG Alitkane</v>
          </cell>
        </row>
        <row r="3385">
          <cell r="A3385" t="str">
            <v>CF33031</v>
          </cell>
          <cell r="B3385" t="str">
            <v>Vermicelle Moyen 10 KG Alitkane</v>
          </cell>
        </row>
        <row r="3386">
          <cell r="A3386" t="str">
            <v>CF33032</v>
          </cell>
          <cell r="B3386" t="str">
            <v>Vermicelle Gros 10 KG Alitkane</v>
          </cell>
        </row>
        <row r="3387">
          <cell r="A3387" t="str">
            <v>CF33033</v>
          </cell>
          <cell r="B3387" t="str">
            <v>P. Plomb 10 KG Alitkane</v>
          </cell>
        </row>
        <row r="3390">
          <cell r="A3390" t="str">
            <v>ART03668</v>
          </cell>
          <cell r="B3390" t="str">
            <v>TAWIL Nettoyant Sol 5L Rose</v>
          </cell>
        </row>
        <row r="3395">
          <cell r="A3395" t="str">
            <v>CF33034</v>
          </cell>
          <cell r="B3395" t="str">
            <v>Langues D'Oiseaux 10 KG Alitkane</v>
          </cell>
        </row>
        <row r="3396">
          <cell r="A3396" t="str">
            <v>CF33035</v>
          </cell>
          <cell r="B3396" t="str">
            <v>Etoiles 10 KG Alitkane</v>
          </cell>
        </row>
        <row r="3397">
          <cell r="A3397" t="str">
            <v>ART03213</v>
          </cell>
          <cell r="B3397" t="str">
            <v>Mia Serviette Hygiénique Long Value Pack 14U</v>
          </cell>
        </row>
        <row r="3398">
          <cell r="A3398" t="str">
            <v>ART03214</v>
          </cell>
          <cell r="B3398" t="str">
            <v>Mia Serviette Hygiénique Maxi Normal  Value Pack 15U</v>
          </cell>
        </row>
        <row r="3410">
          <cell r="A3410" t="str">
            <v>ART03239</v>
          </cell>
          <cell r="B3410" t="str">
            <v>DALAA Couches VP Taille 2-Pack Vert</v>
          </cell>
        </row>
        <row r="3422">
          <cell r="A3422" t="str">
            <v>ART03996</v>
          </cell>
          <cell r="B3422" t="str">
            <v>Tawil Antigel 5l</v>
          </cell>
        </row>
        <row r="3444">
          <cell r="A3444" t="str">
            <v>ART03997</v>
          </cell>
          <cell r="B3444" t="str">
            <v>MIO Semi -auto poudre lavande 1kg</v>
          </cell>
        </row>
        <row r="3447">
          <cell r="A3447" t="str">
            <v>CF33063</v>
          </cell>
          <cell r="B3447" t="str">
            <v>penne 500g alitkane</v>
          </cell>
        </row>
        <row r="3462">
          <cell r="A3462" t="str">
            <v>ART03704</v>
          </cell>
          <cell r="B3462" t="str">
            <v>TAKIS Chips Fuego 90g</v>
          </cell>
        </row>
        <row r="3465">
          <cell r="A3465" t="str">
            <v>ART03998</v>
          </cell>
          <cell r="B3465" t="str">
            <v>PRIMA Couches Adultes Culottes Large 9U</v>
          </cell>
        </row>
        <row r="3469">
          <cell r="A3469" t="str">
            <v>ART03670</v>
          </cell>
          <cell r="B3469" t="str">
            <v>TAWIL Décapant Four 650ml</v>
          </cell>
        </row>
        <row r="3475">
          <cell r="A3475" t="str">
            <v>ART03999</v>
          </cell>
          <cell r="B3475" t="str">
            <v>PRIMA Couches Adultes Culottes Medium 9U</v>
          </cell>
        </row>
        <row r="3518">
          <cell r="A3518" t="str">
            <v>ART03301</v>
          </cell>
          <cell r="B3518" t="str">
            <v>Tobigo Petit Beurre Mini Wafers Filled With Chocolate Cream 86g x 12</v>
          </cell>
        </row>
        <row r="3522">
          <cell r="A3522" t="str">
            <v>ART03300</v>
          </cell>
          <cell r="B3522" t="str">
            <v>Tobigo Petit Beurre Mini Butter Biscuits 88g x 12</v>
          </cell>
        </row>
        <row r="3523">
          <cell r="A3523" t="str">
            <v>ART03302</v>
          </cell>
          <cell r="B3523" t="str">
            <v>Tobigo Petit Beurre Min Cookies With chocolate chips 88g x 12</v>
          </cell>
        </row>
        <row r="3586">
          <cell r="A3586" t="str">
            <v>CF33071</v>
          </cell>
          <cell r="B3586" t="str">
            <v>vermicelle fin 10kg lamine alitkane</v>
          </cell>
        </row>
        <row r="3616">
          <cell r="A3616" t="str">
            <v>CF33104</v>
          </cell>
          <cell r="B3616" t="str">
            <v>ALITKANE COUSCOUS FIN 5KG METALLISE</v>
          </cell>
        </row>
        <row r="3618">
          <cell r="A3618" t="str">
            <v>CF33072</v>
          </cell>
          <cell r="B3618" t="str">
            <v>SPAGHETTI ALITKANE 500G</v>
          </cell>
        </row>
        <row r="3621">
          <cell r="A3621" t="str">
            <v>CF33075</v>
          </cell>
          <cell r="B3621" t="str">
            <v>Coquillage Alitkane 10kg</v>
          </cell>
        </row>
        <row r="3626">
          <cell r="A3626" t="str">
            <v>CF33076</v>
          </cell>
          <cell r="B3626" t="str">
            <v>Regatoni Alitkane 10kg</v>
          </cell>
        </row>
        <row r="3629">
          <cell r="A3629" t="str">
            <v>CF33079</v>
          </cell>
          <cell r="B3629" t="str">
            <v>SPAGHETTI ALITKANE 250 G</v>
          </cell>
        </row>
        <row r="3630">
          <cell r="A3630" t="str">
            <v>CF33081</v>
          </cell>
          <cell r="B3630" t="str">
            <v>COQUILLAGE ALITKANE 500G</v>
          </cell>
        </row>
        <row r="3631">
          <cell r="A3631" t="str">
            <v>ART03422</v>
          </cell>
          <cell r="B3631" t="str">
            <v>AL ITKANE Thé Selham Haute Qualité 200G</v>
          </cell>
        </row>
        <row r="3635">
          <cell r="A3635" t="str">
            <v>CF33082</v>
          </cell>
          <cell r="B3635" t="str">
            <v>RÉGATONI  ALITKANE 500G</v>
          </cell>
        </row>
        <row r="3636">
          <cell r="A3636" t="str">
            <v>CF33083</v>
          </cell>
          <cell r="B3636" t="str">
            <v>VERMICELLE MOYEN ALITKANE 5 KG</v>
          </cell>
        </row>
        <row r="3637">
          <cell r="A3637" t="str">
            <v>CF33084</v>
          </cell>
          <cell r="B3637" t="str">
            <v>LANGUE D’OISEAU ALITKANE 5 KG</v>
          </cell>
        </row>
        <row r="3638">
          <cell r="A3638" t="str">
            <v>CF33086</v>
          </cell>
          <cell r="B3638" t="str">
            <v>PETIT PLOMB ALITKANE 5 KG</v>
          </cell>
        </row>
        <row r="3639">
          <cell r="A3639" t="str">
            <v>CF33092</v>
          </cell>
          <cell r="B3639" t="str">
            <v>COUSCOUS D’ORGE 15*1KG ALITKANE</v>
          </cell>
        </row>
        <row r="3641">
          <cell r="A3641" t="str">
            <v>CF33097</v>
          </cell>
          <cell r="B3641" t="str">
            <v>NUMEROS ET ALPHABETS ALITKANE 400g</v>
          </cell>
        </row>
        <row r="3642">
          <cell r="A3642" t="str">
            <v>CF33098</v>
          </cell>
          <cell r="B3642" t="str">
            <v>Papillon ALITKANE 400g</v>
          </cell>
        </row>
        <row r="3643">
          <cell r="A3643" t="str">
            <v>CF33099</v>
          </cell>
          <cell r="B3643" t="str">
            <v>Animals ALITKANE 400g</v>
          </cell>
        </row>
        <row r="3644">
          <cell r="A3644" t="str">
            <v>CF33102</v>
          </cell>
          <cell r="B3644" t="str">
            <v>VERMICELLE FIN ALITKANE 5 KG</v>
          </cell>
        </row>
        <row r="3645">
          <cell r="A3645" t="str">
            <v>CF33105</v>
          </cell>
          <cell r="B3645" t="str">
            <v>ALITKANE COUSCOUS MOY 5KG METALLISE</v>
          </cell>
        </row>
        <row r="3646">
          <cell r="A3646" t="str">
            <v>CF33115</v>
          </cell>
          <cell r="B3646" t="str">
            <v>ALITKANE TORSADE COMPLET 12*500G OPP</v>
          </cell>
        </row>
        <row r="3647">
          <cell r="A3647" t="str">
            <v>CF33116</v>
          </cell>
          <cell r="B3647" t="str">
            <v>ALITKANE PENNE COMPLET 12*500G OPP</v>
          </cell>
        </row>
        <row r="3670">
          <cell r="A3670" t="str">
            <v>ART03417</v>
          </cell>
          <cell r="B3670" t="str">
            <v>TIYAY 41022 The Chaara 200G</v>
          </cell>
        </row>
        <row r="3676">
          <cell r="A3676" t="str">
            <v>ART03447</v>
          </cell>
          <cell r="B3676" t="str">
            <v>SANGO Sachet Frech Oud 50ML</v>
          </cell>
        </row>
        <row r="3701">
          <cell r="A3701" t="str">
            <v>CF33117</v>
          </cell>
          <cell r="B3701" t="str">
            <v>ALITKANE DITALINI  15*400G OPP</v>
          </cell>
        </row>
        <row r="3702">
          <cell r="A3702" t="str">
            <v>CF33125</v>
          </cell>
          <cell r="B3702" t="str">
            <v>ALITKANE LINGUINE 500G OPP</v>
          </cell>
        </row>
        <row r="3704">
          <cell r="A3704" t="str">
            <v>CF33137</v>
          </cell>
          <cell r="B3704" t="str">
            <v>ALITKANE CHEVEUX D'ANGE EXTRA FIN 1KG</v>
          </cell>
        </row>
        <row r="3759">
          <cell r="A3759" t="str">
            <v>ART03658</v>
          </cell>
          <cell r="B3759" t="str">
            <v>TAWIL Liquide Vaisselle 1250ml Lavande</v>
          </cell>
        </row>
        <row r="3803">
          <cell r="A3803" t="str">
            <v>ART03498</v>
          </cell>
          <cell r="B3803" t="str">
            <v>PAPILLON Papier Hygiénique 12 Rouleaux</v>
          </cell>
        </row>
        <row r="3804">
          <cell r="A3804" t="str">
            <v>ART03499</v>
          </cell>
          <cell r="B3804" t="str">
            <v>PAPILLON Papier Hygiénique 4 Rouleaux</v>
          </cell>
        </row>
        <row r="3805">
          <cell r="A3805" t="str">
            <v>ART03500</v>
          </cell>
          <cell r="B3805" t="str">
            <v>PAPILLON Papier Hygiénique 4 Rlx - Pack de 16</v>
          </cell>
        </row>
        <row r="3847">
          <cell r="A3847" t="str">
            <v>ART03661</v>
          </cell>
          <cell r="B3847" t="str">
            <v>TAWIL Liquide Vaisselle 1250ml Menthe</v>
          </cell>
        </row>
        <row r="3848">
          <cell r="A3848" t="str">
            <v>ART03673</v>
          </cell>
          <cell r="B3848" t="str">
            <v>TAWIL Matic Lessive Liquide Océanique 3L</v>
          </cell>
        </row>
        <row r="3881">
          <cell r="A3881" t="str">
            <v>ART03654</v>
          </cell>
          <cell r="B3881" t="str">
            <v>TAWIL Liquide Vaisselle 750ml Lavande</v>
          </cell>
        </row>
        <row r="3882">
          <cell r="A3882" t="str">
            <v>ART03655</v>
          </cell>
          <cell r="B3882" t="str">
            <v>TAWIL Liquide Vaisselle 750ml Citron</v>
          </cell>
        </row>
        <row r="3883">
          <cell r="A3883" t="str">
            <v>ART03656</v>
          </cell>
          <cell r="B3883" t="str">
            <v>TAWIL Liquide Vaisselle 750ml Coco</v>
          </cell>
        </row>
        <row r="3884">
          <cell r="A3884" t="str">
            <v>ART03657</v>
          </cell>
          <cell r="B3884" t="str">
            <v>TAWIL Liquide Vaisselle 750ml Menthe</v>
          </cell>
        </row>
        <row r="3885">
          <cell r="A3885" t="str">
            <v>ART03659</v>
          </cell>
          <cell r="B3885" t="str">
            <v>TAWIL Liquide Vaisselle 1250ml Citron</v>
          </cell>
        </row>
        <row r="3886">
          <cell r="A3886" t="str">
            <v>ART03660</v>
          </cell>
          <cell r="B3886" t="str">
            <v>TAWIL Liquide Vaisselle 1250ml Coco</v>
          </cell>
        </row>
        <row r="3887">
          <cell r="A3887" t="str">
            <v>ART03662</v>
          </cell>
          <cell r="B3887" t="str">
            <v>TAWIL Nettoyant Sol 1L Lavande</v>
          </cell>
        </row>
        <row r="3888">
          <cell r="A3888" t="str">
            <v>ART03664</v>
          </cell>
          <cell r="B3888" t="str">
            <v>TAWIL Nettoyant Sol 1L Rose</v>
          </cell>
        </row>
        <row r="3889">
          <cell r="A3889" t="str">
            <v>ART03665</v>
          </cell>
          <cell r="B3889" t="str">
            <v>TAWIL Nettoyant Sol 1L Oud</v>
          </cell>
        </row>
        <row r="3890">
          <cell r="A3890" t="str">
            <v>ART03666</v>
          </cell>
          <cell r="B3890" t="str">
            <v>TAWIL Nettoyant Sol 5L Lavande</v>
          </cell>
        </row>
        <row r="3891">
          <cell r="A3891" t="str">
            <v>ART03667</v>
          </cell>
          <cell r="B3891" t="str">
            <v>TAWIL Nettoyant Sol 5L Citron</v>
          </cell>
        </row>
        <row r="3892">
          <cell r="A3892" t="str">
            <v>ART03669</v>
          </cell>
          <cell r="B3892" t="str">
            <v>TAWIL Nettoyant Vitre 750ml</v>
          </cell>
        </row>
        <row r="3893">
          <cell r="A3893" t="str">
            <v>ART03671</v>
          </cell>
          <cell r="B3893" t="str">
            <v>TAWIL Décapant Carrelage 1.25 L</v>
          </cell>
        </row>
        <row r="3894">
          <cell r="A3894" t="str">
            <v>ART03672</v>
          </cell>
          <cell r="B3894" t="str">
            <v>TAWIL Désodorisant Flora 250ml</v>
          </cell>
        </row>
        <row r="3895">
          <cell r="A3895" t="str">
            <v>ART03674</v>
          </cell>
          <cell r="B3895" t="str">
            <v>TAWIL Matic Lessive Liquide au Savon de Marseille 3L</v>
          </cell>
        </row>
        <row r="3896">
          <cell r="A3896" t="str">
            <v>ART03676</v>
          </cell>
          <cell r="B3896" t="str">
            <v>TAWIL Matic Lessive Liquide au Savon de Marseille 5L</v>
          </cell>
        </row>
        <row r="3938">
          <cell r="A3938" t="str">
            <v>ART03746</v>
          </cell>
          <cell r="B3938" t="str">
            <v>Mio Matic Floral Rose 3L x 4</v>
          </cell>
        </row>
        <row r="3950">
          <cell r="A3950" t="str">
            <v>ART03744</v>
          </cell>
          <cell r="B3950" t="str">
            <v>BLANDOUX PAPIER HYGIÉNIQUES 3X6-9U(7+2)</v>
          </cell>
        </row>
        <row r="3961">
          <cell r="A3961" t="str">
            <v>ART03779</v>
          </cell>
          <cell r="B3961" t="str">
            <v>KELLOGG'S Nouilles Instantanées Saveur Poulet 70g</v>
          </cell>
        </row>
        <row r="3975">
          <cell r="A3975" t="str">
            <v>ART03780</v>
          </cell>
          <cell r="B3975" t="str">
            <v>KELLOGG'S Nouilles Instantanées Saveur Boeuf 70g</v>
          </cell>
        </row>
        <row r="3976">
          <cell r="A3976" t="str">
            <v>ART03781</v>
          </cell>
          <cell r="B3976" t="str">
            <v>KELLOGG'S Nouilles Instantanées Saveur Fromage 70g</v>
          </cell>
        </row>
        <row r="3977">
          <cell r="A3977" t="str">
            <v>ART03782</v>
          </cell>
          <cell r="B3977" t="str">
            <v>KELLOGG'S Nouilles Instantanées Saveur Légumes 70g</v>
          </cell>
        </row>
        <row r="3978">
          <cell r="A3978" t="str">
            <v>ART03783</v>
          </cell>
          <cell r="B3978" t="str">
            <v>KELLOGG'S Nouilles Instantanées Saveur Poulet au Curry 70g</v>
          </cell>
        </row>
        <row r="3979">
          <cell r="A3979" t="str">
            <v>ART03784</v>
          </cell>
          <cell r="B3979" t="str">
            <v>KELLOGG'S Nouilles Instantanées Saveur Saucisses Orientales 70g</v>
          </cell>
        </row>
        <row r="3980">
          <cell r="A3980" t="str">
            <v>ART03785</v>
          </cell>
          <cell r="B3980" t="str">
            <v>KELLOGG'S Nouilles Instantanées Spicy 100g</v>
          </cell>
        </row>
        <row r="3998">
          <cell r="A3998" t="str">
            <v>ART03705</v>
          </cell>
          <cell r="B3998" t="str">
            <v>TAKIS Chips Dragon Sweet Chili 90g</v>
          </cell>
        </row>
        <row r="3999">
          <cell r="A3999" t="str">
            <v>ART03706</v>
          </cell>
          <cell r="B3999" t="str">
            <v>TAKIS Chips Intense Nacho Fromage 90g</v>
          </cell>
        </row>
        <row r="4001">
          <cell r="A4001" t="str">
            <v>ART03707</v>
          </cell>
          <cell r="B4001" t="str">
            <v>TAKIS Chips Blue Heat 90g</v>
          </cell>
        </row>
        <row r="4009">
          <cell r="A4009" t="str">
            <v>ART03984</v>
          </cell>
          <cell r="B4009" t="str">
            <v>TAKIS Chips Buckin Ranch 90g</v>
          </cell>
        </row>
        <row r="4032">
          <cell r="A4032" t="str">
            <v>CF33319</v>
          </cell>
          <cell r="B4032" t="str">
            <v>ALITKANE COUSCOUS 5 CEREALES 1Kg</v>
          </cell>
        </row>
        <row r="4046">
          <cell r="A4046" t="str">
            <v>ART03986</v>
          </cell>
          <cell r="B4046" t="str">
            <v>Mia Serviette Hygiénique Maxi Nuit  Value Pack 12U</v>
          </cell>
        </row>
        <row r="4052">
          <cell r="A4052" t="str">
            <v>CF33352</v>
          </cell>
          <cell r="B4052" t="str">
            <v>SHIWAMIE CREVETTE 48*70G</v>
          </cell>
        </row>
        <row r="4053">
          <cell r="A4053" t="str">
            <v>CF33353</v>
          </cell>
          <cell r="B4053" t="str">
            <v>SHIWAMIE POULET 48*70G</v>
          </cell>
        </row>
        <row r="4054">
          <cell r="A4054" t="str">
            <v>CF33354</v>
          </cell>
          <cell r="B4054" t="str">
            <v>SHIWAMIE LEGUMES 48*70G</v>
          </cell>
        </row>
        <row r="4055">
          <cell r="A4055" t="str">
            <v>CF33355</v>
          </cell>
          <cell r="B4055" t="str">
            <v>SHIWAMIE BOEUF 48*70G</v>
          </cell>
        </row>
        <row r="4056">
          <cell r="A4056" t="str">
            <v>CF34000</v>
          </cell>
          <cell r="B4056" t="str">
            <v>Thé 100G 10016 alitkane</v>
          </cell>
        </row>
        <row r="4057">
          <cell r="A4057" t="str">
            <v>CF34001</v>
          </cell>
          <cell r="B4057" t="str">
            <v>Thé 200G 10016 alitkane</v>
          </cell>
        </row>
        <row r="4058">
          <cell r="A4058" t="str">
            <v>CF34002</v>
          </cell>
          <cell r="B4058" t="str">
            <v>Thé 500G 10016 alitkane</v>
          </cell>
        </row>
        <row r="4059">
          <cell r="A4059" t="str">
            <v>CF34006</v>
          </cell>
          <cell r="B4059" t="str">
            <v>Thé 200G 9371 alitkane</v>
          </cell>
        </row>
        <row r="4060">
          <cell r="A4060" t="str">
            <v>CF34007</v>
          </cell>
          <cell r="B4060" t="str">
            <v>Thé 500G 9371 alitkane</v>
          </cell>
        </row>
        <row r="4061">
          <cell r="A4061" t="str">
            <v>CF34008</v>
          </cell>
          <cell r="B4061" t="str">
            <v>Thé 1 KG 9371 alitkane</v>
          </cell>
        </row>
        <row r="4062">
          <cell r="A4062" t="str">
            <v>CF34009</v>
          </cell>
          <cell r="B4062" t="str">
            <v>Thé 2 KG 9371 alitkane</v>
          </cell>
        </row>
        <row r="4063">
          <cell r="A4063" t="str">
            <v>CF34026</v>
          </cell>
          <cell r="B4063" t="str">
            <v>THE SELHAM 200G</v>
          </cell>
        </row>
        <row r="4068">
          <cell r="A4068" t="str">
            <v>CF34069</v>
          </cell>
          <cell r="B4068" t="str">
            <v>THE ZINE 200G</v>
          </cell>
        </row>
        <row r="4070">
          <cell r="A4070" t="str">
            <v>CF34070</v>
          </cell>
          <cell r="B4070" t="str">
            <v>THE ZINE 500 G</v>
          </cell>
        </row>
        <row r="4071">
          <cell r="A4071" t="str">
            <v>CF35172</v>
          </cell>
          <cell r="B4071" t="str">
            <v>TOBIGO SEAU PATE A TARTINER DWIST 900 G</v>
          </cell>
        </row>
        <row r="4074">
          <cell r="A4074" t="str">
            <v>ART03987</v>
          </cell>
          <cell r="B4074" t="str">
            <v>MIA Cotton Touch Serviettes Hygièniques Ultra Normal 10U</v>
          </cell>
        </row>
        <row r="4075">
          <cell r="A4075" t="str">
            <v>CF35217</v>
          </cell>
          <cell r="B4075" t="str">
            <v>TOBIGO CROUSTY CHOCOLAT CRN 30UN - NC</v>
          </cell>
        </row>
        <row r="4076">
          <cell r="A4076" t="str">
            <v>CF35218</v>
          </cell>
          <cell r="B4076" t="str">
            <v>TOBIGO CROUSTY VANILLE CRN 30UN - NC</v>
          </cell>
        </row>
        <row r="4077">
          <cell r="A4077" t="str">
            <v>CF35219</v>
          </cell>
          <cell r="B4077" t="str">
            <v>TOBIGO CROUSTY CITRON CRN 30UN - NC</v>
          </cell>
        </row>
        <row r="4087">
          <cell r="A4087" t="str">
            <v>CF34027</v>
          </cell>
          <cell r="B4087" t="str">
            <v>Thé LHAFLA 200G</v>
          </cell>
        </row>
        <row r="4088">
          <cell r="A4088" t="str">
            <v>CF34029</v>
          </cell>
          <cell r="B4088" t="str">
            <v>Thé LHAFLA 100G</v>
          </cell>
        </row>
        <row r="4089">
          <cell r="A4089" t="str">
            <v>CF34030</v>
          </cell>
          <cell r="B4089" t="str">
            <v>THE SELHAM 100G</v>
          </cell>
        </row>
        <row r="4090">
          <cell r="A4090" t="str">
            <v>CF34046</v>
          </cell>
          <cell r="B4090" t="str">
            <v>thé lmhrat 143g</v>
          </cell>
        </row>
        <row r="4091">
          <cell r="A4091" t="str">
            <v>CF34062</v>
          </cell>
          <cell r="B4091" t="str">
            <v>Thé tiyay 41022 200g</v>
          </cell>
        </row>
        <row r="4092">
          <cell r="A4092" t="str">
            <v>CF34063</v>
          </cell>
          <cell r="B4092" t="str">
            <v>Thé tiyay 41022 500g</v>
          </cell>
        </row>
        <row r="4093">
          <cell r="A4093" t="str">
            <v>CF34068</v>
          </cell>
          <cell r="B4093" t="str">
            <v>Thé alouns 200g</v>
          </cell>
        </row>
        <row r="4094">
          <cell r="A4094" t="str">
            <v>CF35221</v>
          </cell>
          <cell r="B4094" t="str">
            <v>TOBIGO BLÉO CHOCO CRN 30UN - NC</v>
          </cell>
        </row>
        <row r="4095">
          <cell r="A4095" t="str">
            <v>CF35226</v>
          </cell>
          <cell r="B4095" t="str">
            <v>TOBIGO BLÉO CREAM CRN 30UN - NC</v>
          </cell>
        </row>
        <row r="4096">
          <cell r="A4096" t="str">
            <v>CF35227</v>
          </cell>
          <cell r="B4096" t="str">
            <v>TOBIGO ROUNDY CHOCO  30UN - NC</v>
          </cell>
        </row>
        <row r="4097">
          <cell r="A4097" t="str">
            <v>CF35235</v>
          </cell>
          <cell r="B4097" t="str">
            <v>TOBIGO CROUSTY FRAMBOISE CRN 30UN - NC</v>
          </cell>
        </row>
        <row r="4098">
          <cell r="A4098" t="str">
            <v>CF35237</v>
          </cell>
          <cell r="B4098" t="str">
            <v>TOBIGO ROUNDY VANILLE 30UN - NC</v>
          </cell>
        </row>
        <row r="4099">
          <cell r="A4099" t="str">
            <v>CF35238</v>
          </cell>
          <cell r="B4099" t="str">
            <v>TOBIGO ROUNDY CACAOTE VANILLE 30UN - NC</v>
          </cell>
        </row>
        <row r="4100">
          <cell r="A4100" t="str">
            <v>CF35240</v>
          </cell>
          <cell r="B4100" t="str">
            <v>TOBIGO PYRAMIDO MEGA CITRON CRN 30UN -NC</v>
          </cell>
        </row>
        <row r="4101">
          <cell r="A4101" t="str">
            <v>CF35241</v>
          </cell>
          <cell r="B4101" t="str">
            <v>TOBIGO PYRAMIDO MEGA CHOCO CRN 30UN - NC</v>
          </cell>
        </row>
        <row r="4102">
          <cell r="A4102" t="str">
            <v>CF35249</v>
          </cell>
          <cell r="B4102" t="str">
            <v>TOBIGO CROUSTY HAWAI CRN 30UN</v>
          </cell>
        </row>
        <row r="4105">
          <cell r="A4105" t="str">
            <v>CF35901</v>
          </cell>
          <cell r="B4105" t="str">
            <v>TOBIGO GENIO 40G 32 UN</v>
          </cell>
        </row>
        <row r="4106">
          <cell r="A4106" t="str">
            <v>CF35902</v>
          </cell>
          <cell r="B4106" t="str">
            <v>TOBIGO TWISTER 32 UN</v>
          </cell>
        </row>
        <row r="4107">
          <cell r="A4107" t="str">
            <v>CF35903</v>
          </cell>
          <cell r="B4107" t="str">
            <v>TOBIGO JELLY 24 UN</v>
          </cell>
        </row>
        <row r="4108">
          <cell r="A4108" t="str">
            <v>CF35904</v>
          </cell>
          <cell r="B4108" t="str">
            <v>TOBIGO TWISTER CACAOTE 32 UN</v>
          </cell>
        </row>
        <row r="4109">
          <cell r="A4109" t="str">
            <v>CF35914</v>
          </cell>
          <cell r="B4109" t="str">
            <v>TOBIGO - MASTER COOKIES - 30 UN</v>
          </cell>
        </row>
        <row r="4110">
          <cell r="A4110" t="str">
            <v>CF35916</v>
          </cell>
          <cell r="B4110" t="str">
            <v>TOBIGO NAPOLI CRN 30UN</v>
          </cell>
        </row>
        <row r="4111">
          <cell r="A4111" t="str">
            <v>CF400978</v>
          </cell>
          <cell r="B4111" t="str">
            <v>RIZ LONG PRESTO 1KG</v>
          </cell>
        </row>
        <row r="4112">
          <cell r="A4112" t="str">
            <v>CF400980</v>
          </cell>
          <cell r="B4112" t="str">
            <v>RIZ MEDIUM PRESTO 1KG</v>
          </cell>
        </row>
        <row r="4113">
          <cell r="A4113" t="str">
            <v>CF401649</v>
          </cell>
          <cell r="B4113" t="str">
            <v>RIZ ROND PRESTO 01KG</v>
          </cell>
        </row>
        <row r="4114">
          <cell r="A4114" t="str">
            <v>CF401651</v>
          </cell>
          <cell r="B4114" t="str">
            <v>RIZ ETUVE PRESTO 1KG</v>
          </cell>
        </row>
        <row r="4117">
          <cell r="A4117" t="str">
            <v>CF33080</v>
          </cell>
          <cell r="B4117" t="str">
            <v>NUMÉROS ET ALPHABETS ALITKANE 10KG</v>
          </cell>
        </row>
        <row r="4118">
          <cell r="A4118" t="str">
            <v>CF33112</v>
          </cell>
          <cell r="B4118" t="str">
            <v>ALITKANE COUSCOUS MOY 750G CAISSE 16 UN</v>
          </cell>
        </row>
        <row r="4130">
          <cell r="A4130" t="str">
            <v>CF401650</v>
          </cell>
          <cell r="B4130" t="str">
            <v>RIZ ETUVE PRESTO 5KG</v>
          </cell>
        </row>
        <row r="4131">
          <cell r="A4131" t="str">
            <v>CF401648</v>
          </cell>
          <cell r="B4131" t="str">
            <v>RIZ ROND PRESTO 5KG</v>
          </cell>
        </row>
        <row r="4132">
          <cell r="A4132" t="str">
            <v>CF400981</v>
          </cell>
          <cell r="B4132" t="str">
            <v>RIZ MEDIUM PRESTO 5KG</v>
          </cell>
        </row>
        <row r="4133">
          <cell r="A4133" t="str">
            <v>CF400979</v>
          </cell>
          <cell r="B4133" t="str">
            <v>RIZ  LONG PRESTO 5KG</v>
          </cell>
        </row>
        <row r="4170">
          <cell r="A4170" t="str">
            <v>ART04049</v>
          </cell>
          <cell r="B4170" t="str">
            <v>MARISOL thon entier sauce tomate unipack 80 g</v>
          </cell>
        </row>
        <row r="4171">
          <cell r="A4171" t="str">
            <v>ART04050</v>
          </cell>
          <cell r="B4171" t="str">
            <v>MARISOL thon entier sauce tomate tripack 80 g</v>
          </cell>
        </row>
        <row r="4172">
          <cell r="A4172" t="str">
            <v>ART04051</v>
          </cell>
          <cell r="B4172" t="str">
            <v>MARISOL thon entier huile de tournesol tripack 80 g</v>
          </cell>
        </row>
        <row r="4173">
          <cell r="A4173" t="str">
            <v>ART04053</v>
          </cell>
          <cell r="B4173" t="str">
            <v>MARISOL thon entier huile de tournesol unipack 1700 g</v>
          </cell>
        </row>
        <row r="4174">
          <cell r="A4174" t="str">
            <v>ART04052</v>
          </cell>
          <cell r="B4174" t="str">
            <v>MARISOL thon entier huile de tournesol unipack 125 g</v>
          </cell>
        </row>
        <row r="4175">
          <cell r="A4175" t="str">
            <v>ART04054</v>
          </cell>
          <cell r="B4175" t="str">
            <v>MARISOL thon entier huile de tournesol unipack 400 g</v>
          </cell>
        </row>
        <row r="4176">
          <cell r="A4176" t="str">
            <v>ART04055</v>
          </cell>
          <cell r="B4176" t="str">
            <v>MARISOL thon entier huile de tournesol quadripack 80 g</v>
          </cell>
        </row>
        <row r="4177">
          <cell r="A4177" t="str">
            <v>ART04056</v>
          </cell>
          <cell r="B4177" t="str">
            <v>MARISOL thon entier sauce tomate quadripack 80 g</v>
          </cell>
        </row>
        <row r="4178">
          <cell r="A4178" t="str">
            <v>CF35208</v>
          </cell>
          <cell r="B4178" t="str">
            <v>DWIST GAUFRETTE LAO DUO 60 UN</v>
          </cell>
        </row>
        <row r="4179">
          <cell r="A4179" t="str">
            <v>CF35210</v>
          </cell>
          <cell r="B4179" t="str">
            <v>DWIST GAUFRETTE CHOCOLATñ 60UN</v>
          </cell>
        </row>
        <row r="4180">
          <cell r="A4180" t="str">
            <v>CF35212</v>
          </cell>
          <cell r="B4180" t="str">
            <v>DWIST GAUFRETTE SAVEUR VANILLE 24G 60UN</v>
          </cell>
        </row>
        <row r="4181">
          <cell r="A4181" t="str">
            <v>CF35213</v>
          </cell>
          <cell r="B4181" t="str">
            <v>DWIST LOOPY 25G CRN 60 UN</v>
          </cell>
        </row>
        <row r="4182">
          <cell r="A4182" t="str">
            <v>CF33067</v>
          </cell>
          <cell r="B4182" t="str">
            <v>Couscous Fin 1KG Alitkane 12*1KG</v>
          </cell>
        </row>
        <row r="4183">
          <cell r="A4183" t="str">
            <v>CF35900</v>
          </cell>
          <cell r="B4183" t="str">
            <v>TOBIGO GUSTY 30 UN</v>
          </cell>
        </row>
        <row r="4184">
          <cell r="A4184" t="str">
            <v>CF35246</v>
          </cell>
          <cell r="B4184" t="str">
            <v>TOBIGO PETIT CROC CRN 30UN</v>
          </cell>
        </row>
        <row r="4185">
          <cell r="A4185" t="str">
            <v>CF35245</v>
          </cell>
          <cell r="B4185" t="str">
            <v>TOBIGO PETIT CROC PEPITES CRN 30UN</v>
          </cell>
        </row>
        <row r="4186">
          <cell r="A4186" t="str">
            <v>CF35171</v>
          </cell>
          <cell r="B4186" t="str">
            <v>Seau pate à tartiner DWIST 450 G</v>
          </cell>
        </row>
        <row r="4187">
          <cell r="A4187" t="str">
            <v>CF35198</v>
          </cell>
          <cell r="B4187" t="str">
            <v>TOBIGO SNOOKIES CHOCOLAT-CAISSE DE 24 UN</v>
          </cell>
        </row>
        <row r="4188">
          <cell r="A4188" t="str">
            <v>CF35199</v>
          </cell>
          <cell r="B4188" t="str">
            <v>TOBIGO SNOOKIES VANILLE -CAISSE DE 24 UN</v>
          </cell>
        </row>
        <row r="4189">
          <cell r="A4189" t="str">
            <v>ART04048</v>
          </cell>
          <cell r="B4189" t="str">
            <v>MARISOL thon entier huile de tournesol unipack 80 g</v>
          </cell>
        </row>
        <row r="4190">
          <cell r="A4190" t="str">
            <v>CF35223</v>
          </cell>
          <cell r="B4190" t="str">
            <v>TOBIGO MINI CROUSTY CHOCO†90G CRN 12UN</v>
          </cell>
        </row>
        <row r="4191">
          <cell r="A4191" t="str">
            <v>CF35224</v>
          </cell>
          <cell r="B4191" t="str">
            <v>TOBIGO MINI CROUSTY VANIL 90G CRN 12UN</v>
          </cell>
        </row>
        <row r="4192">
          <cell r="A4192" t="str">
            <v>CF35225</v>
          </cell>
          <cell r="B4192" t="str">
            <v>TOBIGO MINI†CROUSTY†CITRON†90G CRN 12UN</v>
          </cell>
        </row>
        <row r="4193">
          <cell r="A4193" t="str">
            <v>CF35239</v>
          </cell>
          <cell r="B4193" t="str">
            <v>TOBIGO MINI†CROUSTY†FRAMBOISE90G CRN12UN</v>
          </cell>
        </row>
        <row r="4194">
          <cell r="A4194" t="str">
            <v>CF35242</v>
          </cell>
          <cell r="B4194" t="str">
            <v>TOBIGO SUNNY 64G CRN 24UN</v>
          </cell>
        </row>
        <row r="4195">
          <cell r="A4195" t="str">
            <v>CF35265</v>
          </cell>
          <cell r="B4195" t="str">
            <v>TOBIGO DONITO ALL BLACK CRN 30UN</v>
          </cell>
        </row>
        <row r="4196">
          <cell r="A4196" t="str">
            <v>CF35530</v>
          </cell>
          <cell r="B4196" t="str">
            <v>TOBIGO MUFFINS CACAOTÉ 30 UN</v>
          </cell>
        </row>
        <row r="4197">
          <cell r="A4197" t="str">
            <v>CF35120</v>
          </cell>
          <cell r="B4197" t="str">
            <v>TOBIGO MINI CROUSTY CHOCO†90G CRN 12UN</v>
          </cell>
        </row>
        <row r="4198">
          <cell r="A4198" t="str">
            <v>CF35121</v>
          </cell>
          <cell r="B4198" t="str">
            <v>TOBIGO MINI CROUSTY VANIL 90G CRN 12UN</v>
          </cell>
        </row>
        <row r="4199">
          <cell r="A4199" t="str">
            <v>CF35122</v>
          </cell>
          <cell r="B4199" t="str">
            <v>TOBIGO MINI†CROUSTY†CITRON†90G CRN 12UN</v>
          </cell>
        </row>
        <row r="4200">
          <cell r="A4200" t="str">
            <v>CF35178</v>
          </cell>
          <cell r="B4200" t="str">
            <v>TOBIGO MINI†CROUSTY†FRAMBOISE90G CRN12UN</v>
          </cell>
        </row>
        <row r="4201">
          <cell r="A4201" t="str">
            <v>CF35197</v>
          </cell>
          <cell r="B4201" t="str">
            <v>TOBIGO SUNNY 64G CRN 24UN</v>
          </cell>
        </row>
        <row r="4202">
          <cell r="A4202" t="str">
            <v>CF35118</v>
          </cell>
          <cell r="B4202" t="str">
            <v>TOBIGO MINI COOKIES 90G CRN 12UN</v>
          </cell>
        </row>
        <row r="4203">
          <cell r="A4203" t="str">
            <v>CF35127</v>
          </cell>
          <cell r="B4203" t="str">
            <v>TOBIGO ROUNDY CHOCO 60G 30UN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01-E0D1-4A21-8365-97823C152015}">
  <sheetPr filterMode="1"/>
  <dimension ref="A1:C4145"/>
  <sheetViews>
    <sheetView tabSelected="1" workbookViewId="0">
      <pane ySplit="1" topLeftCell="A2" activePane="bottomLeft" state="frozen"/>
      <selection pane="bottomLeft" activeCell="C205" sqref="C205"/>
    </sheetView>
  </sheetViews>
  <sheetFormatPr baseColWidth="10" defaultRowHeight="14.4" x14ac:dyDescent="0.3"/>
  <cols>
    <col min="1" max="1" width="16.6640625" customWidth="1"/>
    <col min="2" max="2" width="59.109375" customWidth="1"/>
    <col min="3" max="3" width="31.44140625" customWidth="1"/>
    <col min="4" max="4" width="5.44140625" customWidth="1"/>
  </cols>
  <sheetData>
    <row r="1" spans="1:3" ht="28.05" customHeight="1" x14ac:dyDescent="0.3">
      <c r="A1" s="1" t="s">
        <v>0</v>
      </c>
      <c r="B1" s="1" t="s">
        <v>3</v>
      </c>
      <c r="C1" s="1" t="s">
        <v>2</v>
      </c>
    </row>
    <row r="2" spans="1:3" ht="18" hidden="1" customHeight="1" x14ac:dyDescent="0.3">
      <c r="A2" s="2" t="str">
        <f>[1]Products!A930</f>
        <v>CF35250</v>
      </c>
      <c r="B2" s="2" t="str">
        <f>[1]Products!B930</f>
        <v>TOBIGO CROUSTY TIRAMISSU CRN 30UN</v>
      </c>
      <c r="C2" s="2" t="str">
        <f t="shared" ref="C2:C65" si="0">IF(OR(ISNUMBER(SEARCH("SELHAM",B2)),ISNUMBER(SEARCH("LHAFLA",B2)),ISNUMBER(SEARCH("ZINE",B2)),ISNUMBER(SEARCH("tiyay",B2)),ISNUMBER(SEARCH("alouns",B2)),ISNUMBER(SEARCH("lmhrat",B2))),"The Al Itkane",IF(AND(ISNUMBER(SEARCH("CALIN",B2)),ISNUMBER(SEARCH("RP",B2)),NOT(ISNUMBER(SEARCH("VP",B2)))),"Calin RP",IF(AND(ISNUMBER(SEARCH("CALIN",B2)),ISNUMBER(SEARCH("VP",B2))),"Calin VP",IF(AND(ISNUMBER(SEARCH("MIO",B2)),OR(ISNUMBER(SEARCH("Vaisselle",B2)),ISNUMBER(SEARCH("vaisselle",B2)))),"Mio Liquid Vaisselle",IF(AND(ISNUMBER(SEARCH("MIO",B2)),ISNUMBER(SEARCH("Javel",B2))),"Mio Javel",IF(AND(ISNUMBER(SEARCH("MIO",B2)),ISNUMBER(SEARCH("Matic",B2))),"Mio Matic",IF(AND(ISNUMBER(SEARCH("MIO",B2)),OR(ISNUMBER(SEARCH("Détérgent",B2)),ISNUMBER(SEARCH("Poudre",B2)),ISNUMBER(SEARCH("Semi Auto",B2)),ISNUMBER(SEARCH("1KG",B2)),ISNUMBER(SEARCH("500G",B2)),ISNUMBER(SEARCH("10KG",B2)),ISNUMBER(SEARCH("1.5K",B2)),ISNUMBER(SEARCH("215G",B2)),ISNUMBER(SEARCH("350G",B2)),ISNUMBER(SEARCH("90G",B2)),ISNUMBER(SEARCH("Gold",B2)),ISNUMBER(SEARCH("Citron",B2)),ISNUMBER(SEARCH("Rose",B2)),ISNUMBER(SEARCH("Lessive",B2))),NOT(OR(ISNUMBER(SEARCH("Vaisselle",B2)),ISNUMBER(SEARCH("Javel",B2)),ISNUMBER(SEARCH("Matic",B2)),ISNUMBER(SEARCH("Nettoyant",B2)),ISNUMBER(SEARCH("Pâte",B2)),ISNUMBER(SEARCH("Lave",B2)),ISNUMBER(SEARCH("Détartrant",B2))))),"Mio main (1k+500gr)",IF(AND(ISNUMBER(SEARCH("PAPILLON",B2)),OR(ISNUMBER(SEARCH("Papier",B2)),ISNUMBER(SEARCH("Hygiénique",B2)),ISNUMBER(SEARCH("HYGIÉNIQUE",B2))),NOT(OR(ISNUMBER(SEARCH("Lingette",B2)),ISNUMBER(SEARCH("Mouchoir",B2))))),"Papillon Papier",IF(OR(ISNUMBER(SEARCH("TAJ AL SAHAR",B2)),ISNUMBER(SEARCH("TAJ BLADI",B2)),ISNUMBER(SEARCH("TAJ BELADI",B2)),ISNUMBER(SEARCH("Tilal Assahra",B2)),ISNUMBER(SEARCH("Jawharat Asahra",B2))),"TAJ SAHARA",IF(AND(OR(ISNUMBER(SEARCH("AL ITKANE",B2)),ISNUMBER(SEARCH("ALITKANE",B2)),ISNUMBER(SEARCH("PRESTO",B2))),NOT(OR(ISNUMBER(SEARCH("Thé",B2)),ISNUMBER(SEARCH("THE ",B2)),ISNUMBER(SEARCH("thé",B2)),ISNUMBER(SEARCH("SELHAM",B2)),ISNUMBER(SEARCH("LHAFLA",B2)),ISNUMBER(SEARCH("ZINE",B2)),ISNUMBER(SEARCH("tiyay",B2)),ISNUMBER(SEARCH("alouns",B2)),ISNUMBER(SEARCH("lmhrat",B2))))),"Al Itkrans + Presto",IF(OR(ISNUMBER(SEARCH("DALAA",B2)),ISNUMBER(SEARCH("CS-DALAA",B2)),ISNUMBER(SEARCH("DALINA",B2))),"Dalaa VP / Baqqal / RP",IF(OR(LEFT(UPPER(B2),4)="MIA ",LEFT(UPPER(B2),6)="CS-MIA"),"Mia",IF(OR(LEFT(UPPER(B2),5)="NOVA ",LEFT(UPPER(B2),7)="CS-NOVA"),"Nova",IF(OR(ISNUMBER(SEARCH("PRIMA ",B2)),ISNUMBER(SEARCH("CS-PRIMA",B2))),"Prima",IF(OR(ISNUMBER(SEARCH("Douceur",B2)),ISNUMBER(SEARCH("DOUCEUR",B2))),"Douceur",IF(OR(ISNUMBER(SEARCH("SANGO",B2)),ISNUMBER(SEARCH("CS-SANGO",B2))),"SANGO",IF(ISNUMBER(SEARCH("BLANDOUX",B2)),"Blandoux",IF(ISNUMBER(SEARCH("SHIWAMI",B2)),"Shiwame",IF(ISNUMBER(SEARCH("KELLOGG",B2)),"Kelloggs",IF(OR(ISNUMBER(SEARCH("TOBIGO",B2)),ISNUMBER(SEARCH("DWIST",B2))),"Tobigo",IF(OR(ISNUMBER(SEARCH("MARISOL",B2)),ISNUMBER(SEARCH("MARESOL",B2))),"Maresol",IF(OR(ISNUMBER(SEARCH("TAKIS",B2)),ISNUMBER(SEARCH("TAKYS",B2))),"TAKYS",IF(ISNUMBER(SEARCH("TAWIL",B2)),"Tawil",IF(ISNUMBER(SEARCH("FROMY",B2)),"Fromy",""))))))))))))))))))))))))</f>
        <v>Tobigo</v>
      </c>
    </row>
    <row r="3" spans="1:3" ht="18" hidden="1" customHeight="1" x14ac:dyDescent="0.3">
      <c r="A3" s="2" t="str">
        <f>[1]Products!A940</f>
        <v>ART00968</v>
      </c>
      <c r="B3" s="2" t="str">
        <f>[1]Products!B940</f>
        <v>TOBIGO Roundy Cacao Biscuit Crème Vanille</v>
      </c>
      <c r="C3" s="2" t="str">
        <f t="shared" si="0"/>
        <v>Tobigo</v>
      </c>
    </row>
    <row r="4" spans="1:3" ht="18" hidden="1" customHeight="1" x14ac:dyDescent="0.3">
      <c r="A4" s="2" t="str">
        <f>[1]Products!A1125</f>
        <v>CF35266</v>
      </c>
      <c r="B4" s="2" t="str">
        <f>[1]Products!B1125</f>
        <v>TOBIGO DONITO CARAMEL CRN 30UN</v>
      </c>
      <c r="C4" s="2" t="str">
        <f t="shared" si="0"/>
        <v>Tobigo</v>
      </c>
    </row>
    <row r="5" spans="1:3" ht="18" hidden="1" customHeight="1" x14ac:dyDescent="0.3">
      <c r="A5" s="2" t="str">
        <f>[1]Products!A1126</f>
        <v>CF35267</v>
      </c>
      <c r="B5" s="2" t="str">
        <f>[1]Products!B1126</f>
        <v>TOBIGO DONITO CHOCO CRN 30UN</v>
      </c>
      <c r="C5" s="2" t="str">
        <f t="shared" si="0"/>
        <v>Tobigo</v>
      </c>
    </row>
    <row r="6" spans="1:3" ht="18" hidden="1" customHeight="1" x14ac:dyDescent="0.3">
      <c r="A6" s="2" t="str">
        <f>[1]Products!A1173</f>
        <v>CF35298</v>
      </c>
      <c r="B6" s="2" t="str">
        <f>[1]Products!B1173</f>
        <v>TOBIGO SALEO ORIGINAL 24UN</v>
      </c>
      <c r="C6" s="2" t="str">
        <f t="shared" si="0"/>
        <v>Tobigo</v>
      </c>
    </row>
    <row r="7" spans="1:3" ht="18" hidden="1" customHeight="1" x14ac:dyDescent="0.3">
      <c r="A7" s="2" t="str">
        <f>[1]Products!A1229</f>
        <v>CF35516</v>
      </c>
      <c r="B7" s="2" t="str">
        <f>[1]Products!B1229</f>
        <v>TOBIGO MUFFIN  30U - NC</v>
      </c>
      <c r="C7" s="2" t="str">
        <f t="shared" si="0"/>
        <v>Tobigo</v>
      </c>
    </row>
    <row r="8" spans="1:3" ht="18" hidden="1" customHeight="1" x14ac:dyDescent="0.3">
      <c r="A8" s="2" t="str">
        <f>[1]Products!A1257</f>
        <v>CF35517</v>
      </c>
      <c r="B8" s="2" t="str">
        <f>[1]Products!B1257</f>
        <v>TOBIGO TARTLET 24U - NC</v>
      </c>
      <c r="C8" s="2" t="str">
        <f t="shared" si="0"/>
        <v>Tobigo</v>
      </c>
    </row>
    <row r="9" spans="1:3" ht="18" hidden="1" customHeight="1" x14ac:dyDescent="0.3">
      <c r="A9" s="2" t="str">
        <f>[1]Products!A1355</f>
        <v>CF35518</v>
      </c>
      <c r="B9" s="2" t="str">
        <f>[1]Products!B1355</f>
        <v>TOBIGO DONUT  24U - NC</v>
      </c>
      <c r="C9" s="2" t="str">
        <f t="shared" si="0"/>
        <v>Tobigo</v>
      </c>
    </row>
    <row r="10" spans="1:3" ht="18" hidden="1" customHeight="1" x14ac:dyDescent="0.3">
      <c r="A10" s="2" t="str">
        <f>[1]Products!A1422</f>
        <v>ART00221</v>
      </c>
      <c r="B10" s="2" t="str">
        <f>[1]Products!B1422</f>
        <v>TOBIGO Crousty Lemon Cream</v>
      </c>
      <c r="C10" s="2" t="str">
        <f t="shared" si="0"/>
        <v>Tobigo</v>
      </c>
    </row>
    <row r="11" spans="1:3" ht="18" hidden="1" customHeight="1" x14ac:dyDescent="0.3">
      <c r="A11" s="2" t="str">
        <f>[1]Products!A1423</f>
        <v>ART00222</v>
      </c>
      <c r="B11" s="2" t="str">
        <f>[1]Products!B1423</f>
        <v>TOBIGO Pyramido All Black</v>
      </c>
      <c r="C11" s="2" t="str">
        <f t="shared" si="0"/>
        <v>Tobigo</v>
      </c>
    </row>
    <row r="12" spans="1:3" ht="18" hidden="1" customHeight="1" x14ac:dyDescent="0.3">
      <c r="A12" s="2" t="str">
        <f>[1]Products!A1424</f>
        <v>ART00223</v>
      </c>
      <c r="B12" s="2" t="str">
        <f>[1]Products!B1424</f>
        <v>TOBIGO Pyramido Lemon</v>
      </c>
      <c r="C12" s="2" t="str">
        <f t="shared" si="0"/>
        <v>Tobigo</v>
      </c>
    </row>
    <row r="13" spans="1:3" ht="18" hidden="1" customHeight="1" x14ac:dyDescent="0.3">
      <c r="A13" s="2" t="str">
        <f>[1]Products!A1425</f>
        <v>ART00224</v>
      </c>
      <c r="B13" s="2" t="str">
        <f>[1]Products!B1425</f>
        <v>TOBIGO Chookies</v>
      </c>
      <c r="C13" s="2" t="str">
        <f t="shared" si="0"/>
        <v>Tobigo</v>
      </c>
    </row>
    <row r="14" spans="1:3" ht="18" hidden="1" customHeight="1" x14ac:dyDescent="0.3">
      <c r="A14" s="2" t="str">
        <f>[1]Products!A1426</f>
        <v>ART00225</v>
      </c>
      <c r="B14" s="2" t="str">
        <f>[1]Products!B1426</f>
        <v>TOBIGO Pyramido Milk Chocolate</v>
      </c>
      <c r="C14" s="2" t="str">
        <f t="shared" si="0"/>
        <v>Tobigo</v>
      </c>
    </row>
    <row r="15" spans="1:3" ht="18" hidden="1" customHeight="1" x14ac:dyDescent="0.3">
      <c r="A15" s="2" t="str">
        <f>[1]Products!A1427</f>
        <v>ART00226</v>
      </c>
      <c r="B15" s="2" t="str">
        <f>[1]Products!B1427</f>
        <v>TOBIGO Bleo chocolate enrobé</v>
      </c>
      <c r="C15" s="2" t="str">
        <f t="shared" si="0"/>
        <v>Tobigo</v>
      </c>
    </row>
    <row r="16" spans="1:3" ht="18" hidden="1" customHeight="1" x14ac:dyDescent="0.3">
      <c r="A16" s="2" t="str">
        <f>[1]Products!A1428</f>
        <v>ART00227</v>
      </c>
      <c r="B16" s="2" t="str">
        <f>[1]Products!B1428</f>
        <v>TOBIGO Crousty Vanilla Cream</v>
      </c>
      <c r="C16" s="2" t="str">
        <f t="shared" si="0"/>
        <v>Tobigo</v>
      </c>
    </row>
    <row r="17" spans="1:3" ht="18" hidden="1" customHeight="1" x14ac:dyDescent="0.3">
      <c r="A17" s="2" t="str">
        <f>[1]Products!A1429</f>
        <v>ART00228</v>
      </c>
      <c r="B17" s="2" t="str">
        <f>[1]Products!B1429</f>
        <v>TOBIGO Trio Choco &amp; Coco</v>
      </c>
      <c r="C17" s="2" t="str">
        <f t="shared" si="0"/>
        <v>Tobigo</v>
      </c>
    </row>
    <row r="18" spans="1:3" ht="18" hidden="1" customHeight="1" x14ac:dyDescent="0.3">
      <c r="A18" s="2" t="str">
        <f>[1]Products!A1430</f>
        <v>ART00229</v>
      </c>
      <c r="B18" s="2" t="str">
        <f>[1]Products!B1430</f>
        <v>TOBIGO Cookies</v>
      </c>
      <c r="C18" s="2" t="str">
        <f t="shared" si="0"/>
        <v>Tobigo</v>
      </c>
    </row>
    <row r="19" spans="1:3" ht="18" hidden="1" customHeight="1" x14ac:dyDescent="0.3">
      <c r="A19" s="2" t="str">
        <f>[1]Products!A1431</f>
        <v>ART00230</v>
      </c>
      <c r="B19" s="2" t="str">
        <f>[1]Products!B1431</f>
        <v>TOBIGO Bleo Crème Vanille</v>
      </c>
      <c r="C19" s="2" t="str">
        <f t="shared" si="0"/>
        <v>Tobigo</v>
      </c>
    </row>
    <row r="20" spans="1:3" ht="18" hidden="1" customHeight="1" x14ac:dyDescent="0.3">
      <c r="A20" s="2" t="str">
        <f>[1]Products!A1432</f>
        <v>ART00232</v>
      </c>
      <c r="B20" s="2" t="str">
        <f>[1]Products!B1432</f>
        <v>TOBIGO Roundy Chocolat Cream</v>
      </c>
      <c r="C20" s="2" t="str">
        <f t="shared" si="0"/>
        <v>Tobigo</v>
      </c>
    </row>
    <row r="21" spans="1:3" ht="18" hidden="1" customHeight="1" x14ac:dyDescent="0.3">
      <c r="A21" s="2" t="str">
        <f>[1]Products!A1487</f>
        <v>ART00294</v>
      </c>
      <c r="B21" s="2" t="str">
        <f>[1]Products!B1487</f>
        <v>TOBIGO Petit Beurre</v>
      </c>
      <c r="C21" s="2" t="str">
        <f t="shared" si="0"/>
        <v>Tobigo</v>
      </c>
    </row>
    <row r="22" spans="1:3" ht="18" hidden="1" customHeight="1" x14ac:dyDescent="0.3">
      <c r="A22" s="2" t="str">
        <f>[1]Products!A1488</f>
        <v>ART00295</v>
      </c>
      <c r="B22" s="2" t="str">
        <f>[1]Products!B1488</f>
        <v>TOBIGO Cookies Black</v>
      </c>
      <c r="C22" s="2" t="str">
        <f t="shared" si="0"/>
        <v>Tobigo</v>
      </c>
    </row>
    <row r="23" spans="1:3" ht="18" hidden="1" customHeight="1" x14ac:dyDescent="0.3">
      <c r="A23" s="2" t="str">
        <f>[1]Products!A1539</f>
        <v>ART00356</v>
      </c>
      <c r="B23" s="2" t="str">
        <f>[1]Products!B1539</f>
        <v>TOBIGO Crousty Watermelon (Pastèque) Cream</v>
      </c>
      <c r="C23" s="2" t="str">
        <f t="shared" si="0"/>
        <v>Tobigo</v>
      </c>
    </row>
    <row r="24" spans="1:3" ht="18" hidden="1" customHeight="1" x14ac:dyDescent="0.3">
      <c r="A24" s="2" t="str">
        <f>[1]Products!A1540</f>
        <v>ART00357</v>
      </c>
      <c r="B24" s="2" t="str">
        <f>[1]Products!B1540</f>
        <v>TOBIGO Petit Beurre pépites chocolat</v>
      </c>
      <c r="C24" s="2" t="str">
        <f t="shared" si="0"/>
        <v>Tobigo</v>
      </c>
    </row>
    <row r="25" spans="1:3" ht="18" hidden="1" customHeight="1" x14ac:dyDescent="0.3">
      <c r="A25" s="2" t="str">
        <f>[1]Products!A1652</f>
        <v>ART00525</v>
      </c>
      <c r="B25" s="2" t="str">
        <f>[1]Products!B1652</f>
        <v>TOBIGO Donut Chocolat *30</v>
      </c>
      <c r="C25" s="2" t="str">
        <f t="shared" si="0"/>
        <v>Tobigo</v>
      </c>
    </row>
    <row r="26" spans="1:3" ht="18" hidden="1" customHeight="1" x14ac:dyDescent="0.3">
      <c r="A26" s="2" t="str">
        <f>[1]Products!A1684</f>
        <v>ART00523</v>
      </c>
      <c r="B26" s="2" t="str">
        <f>[1]Products!B1684</f>
        <v>TOBIGO Muffins Chocolat</v>
      </c>
      <c r="C26" s="2" t="str">
        <f t="shared" si="0"/>
        <v>Tobigo</v>
      </c>
    </row>
    <row r="27" spans="1:3" ht="18" hidden="1" customHeight="1" x14ac:dyDescent="0.3">
      <c r="A27" s="2" t="str">
        <f>[1]Products!A1685</f>
        <v>ART00524</v>
      </c>
      <c r="B27" s="2" t="str">
        <f>[1]Products!B1685</f>
        <v>TOBIGO Tartlet Chocolat</v>
      </c>
      <c r="C27" s="2" t="str">
        <f t="shared" si="0"/>
        <v>Tobigo</v>
      </c>
    </row>
    <row r="28" spans="1:3" ht="18" hidden="1" customHeight="1" x14ac:dyDescent="0.3">
      <c r="A28" s="2" t="str">
        <f>[1]Products!A1689</f>
        <v>ART00530</v>
      </c>
      <c r="B28" s="2" t="str">
        <f>[1]Products!B1689</f>
        <v>TOBIGO Crousty Chocolat</v>
      </c>
      <c r="C28" s="2" t="str">
        <f t="shared" si="0"/>
        <v>Tobigo</v>
      </c>
    </row>
    <row r="29" spans="1:3" ht="18" hidden="1" customHeight="1" x14ac:dyDescent="0.3">
      <c r="A29" s="2" t="str">
        <f>[1]Products!A1690</f>
        <v>ART00531</v>
      </c>
      <c r="B29" s="2" t="str">
        <f>[1]Products!B1690</f>
        <v>TOBIGO Crousty Framboise</v>
      </c>
      <c r="C29" s="2" t="str">
        <f t="shared" si="0"/>
        <v>Tobigo</v>
      </c>
    </row>
    <row r="30" spans="1:3" ht="18" hidden="1" customHeight="1" x14ac:dyDescent="0.3">
      <c r="A30" s="2" t="str">
        <f>[1]Products!A1691</f>
        <v>ART00532</v>
      </c>
      <c r="B30" s="2" t="str">
        <f>[1]Products!B1691</f>
        <v>TOBIGO Bleo Bubble Gum</v>
      </c>
      <c r="C30" s="2" t="str">
        <f t="shared" si="0"/>
        <v>Tobigo</v>
      </c>
    </row>
    <row r="31" spans="1:3" ht="18" hidden="1" customHeight="1" x14ac:dyDescent="0.3">
      <c r="A31" s="2" t="str">
        <f>[1]Products!A1833</f>
        <v>ART00682</v>
      </c>
      <c r="B31" s="2" t="str">
        <f>[1]Products!B1833</f>
        <v>TOBIGO Donut Chocolat *24</v>
      </c>
      <c r="C31" s="2" t="str">
        <f t="shared" si="0"/>
        <v>Tobigo</v>
      </c>
    </row>
    <row r="32" spans="1:3" ht="18" hidden="1" customHeight="1" x14ac:dyDescent="0.3">
      <c r="A32" s="2" t="str">
        <f>[1]Products!A1898</f>
        <v>ART00744</v>
      </c>
      <c r="B32" s="2" t="str">
        <f>[1]Products!B1898</f>
        <v>TOBIGO Mini Crousty Chocolat 90G</v>
      </c>
      <c r="C32" s="2" t="str">
        <f t="shared" si="0"/>
        <v>Tobigo</v>
      </c>
    </row>
    <row r="33" spans="1:3" ht="18" hidden="1" customHeight="1" x14ac:dyDescent="0.3">
      <c r="A33" s="2" t="str">
        <f>[1]Products!A1899</f>
        <v>ART00745</v>
      </c>
      <c r="B33" s="2" t="str">
        <f>[1]Products!B1899</f>
        <v>TOBIGO Mini Crousty Vanille 90G</v>
      </c>
      <c r="C33" s="2" t="str">
        <f t="shared" si="0"/>
        <v>Tobigo</v>
      </c>
    </row>
    <row r="34" spans="1:3" ht="18" hidden="1" customHeight="1" x14ac:dyDescent="0.3">
      <c r="A34" s="2" t="str">
        <f>[1]Products!A1956</f>
        <v>ART00810</v>
      </c>
      <c r="B34" s="2" t="str">
        <f>[1]Products!B1956</f>
        <v>TOBIGO Roundy Vanille</v>
      </c>
      <c r="C34" s="2" t="str">
        <f t="shared" si="0"/>
        <v>Tobigo</v>
      </c>
    </row>
    <row r="35" spans="1:3" ht="18" hidden="1" customHeight="1" x14ac:dyDescent="0.3">
      <c r="A35" s="2" t="str">
        <f>[1]Products!A1957</f>
        <v>ART00811</v>
      </c>
      <c r="B35" s="2" t="str">
        <f>[1]Products!B1957</f>
        <v>TOBIGO Waffle Chocolat</v>
      </c>
      <c r="C35" s="2" t="str">
        <f t="shared" si="0"/>
        <v>Tobigo</v>
      </c>
    </row>
    <row r="36" spans="1:3" ht="18" hidden="1" customHeight="1" x14ac:dyDescent="0.3">
      <c r="A36" s="2" t="str">
        <f>[1]Products!A2077</f>
        <v>ART00953</v>
      </c>
      <c r="B36" s="2" t="str">
        <f>[1]Products!B2077</f>
        <v>TOBIGO Igloo Cake</v>
      </c>
      <c r="C36" s="2" t="str">
        <f t="shared" si="0"/>
        <v>Tobigo</v>
      </c>
    </row>
    <row r="37" spans="1:3" ht="18" hidden="1" customHeight="1" x14ac:dyDescent="0.3">
      <c r="A37" s="2" t="str">
        <f>[1]Products!A2095</f>
        <v>ART00969</v>
      </c>
      <c r="B37" s="2" t="str">
        <f>[1]Products!B2095</f>
        <v>TOBIGO Crousty Cherry Cola</v>
      </c>
      <c r="C37" s="2" t="str">
        <f t="shared" si="0"/>
        <v>Tobigo</v>
      </c>
    </row>
    <row r="38" spans="1:3" ht="18" hidden="1" customHeight="1" x14ac:dyDescent="0.3">
      <c r="A38" s="2" t="str">
        <f>[1]Products!A2105</f>
        <v>ART00979</v>
      </c>
      <c r="B38" s="2" t="str">
        <f>[1]Products!B2105</f>
        <v>TOBIGO Crousty Bubble Gum</v>
      </c>
      <c r="C38" s="2" t="str">
        <f t="shared" si="0"/>
        <v>Tobigo</v>
      </c>
    </row>
    <row r="39" spans="1:3" ht="18" hidden="1" customHeight="1" x14ac:dyDescent="0.3">
      <c r="A39" s="2" t="str">
        <f>[1]Products!A2280</f>
        <v>ART01161</v>
      </c>
      <c r="B39" s="2" t="str">
        <f>[1]Products!B2280</f>
        <v>TOBIGO Donut Cacao Framboise * 24</v>
      </c>
      <c r="C39" s="2" t="str">
        <f t="shared" si="0"/>
        <v>Tobigo</v>
      </c>
    </row>
    <row r="40" spans="1:3" ht="18" hidden="1" customHeight="1" x14ac:dyDescent="0.3">
      <c r="A40" s="2" t="str">
        <f>[1]Products!A2562</f>
        <v>ART01454</v>
      </c>
      <c r="B40" s="2" t="str">
        <f>[1]Products!B2562</f>
        <v>TOBIGO Crousty All Black</v>
      </c>
      <c r="C40" s="2" t="str">
        <f t="shared" si="0"/>
        <v>Tobigo</v>
      </c>
    </row>
    <row r="41" spans="1:3" ht="18" hidden="1" customHeight="1" x14ac:dyDescent="0.3">
      <c r="A41" s="2" t="str">
        <f>[1]Products!A2583</f>
        <v>ART01475</v>
      </c>
      <c r="B41" s="2" t="str">
        <f>[1]Products!B2583</f>
        <v>TOBIGO Igloo Cake 24U</v>
      </c>
      <c r="C41" s="2" t="str">
        <f t="shared" si="0"/>
        <v>Tobigo</v>
      </c>
    </row>
    <row r="42" spans="1:3" ht="18" hidden="1" customHeight="1" x14ac:dyDescent="0.3">
      <c r="A42" s="2" t="str">
        <f>[1]Products!A2584</f>
        <v>ART01476</v>
      </c>
      <c r="B42" s="2" t="str">
        <f>[1]Products!B2584</f>
        <v>TOBIGO Waffle Banane</v>
      </c>
      <c r="C42" s="2" t="str">
        <f t="shared" si="0"/>
        <v>Tobigo</v>
      </c>
    </row>
    <row r="43" spans="1:3" ht="18" hidden="1" customHeight="1" x14ac:dyDescent="0.3">
      <c r="A43" s="2" t="str">
        <f>[1]Products!A3230</f>
        <v>CF35524</v>
      </c>
      <c r="B43" s="2" t="str">
        <f>[1]Products!B3230</f>
        <v>TOBIGO DONUT CACAOTE FRAMBOISE 24UN - NC</v>
      </c>
      <c r="C43" s="2" t="str">
        <f t="shared" si="0"/>
        <v>Tobigo</v>
      </c>
    </row>
    <row r="44" spans="1:3" ht="18" hidden="1" customHeight="1" x14ac:dyDescent="0.3">
      <c r="A44" s="2" t="str">
        <f>[1]Products!A3232</f>
        <v>CF35525</v>
      </c>
      <c r="B44" s="2" t="str">
        <f>[1]Products!B3232</f>
        <v>TOBIGO IGLO 24 UNITÉS   - NC</v>
      </c>
      <c r="C44" s="2" t="str">
        <f t="shared" si="0"/>
        <v>Tobigo</v>
      </c>
    </row>
    <row r="45" spans="1:3" ht="18" hidden="1" customHeight="1" x14ac:dyDescent="0.3">
      <c r="A45" s="2" t="str">
        <f>[1]Products!A3233</f>
        <v>CF35529</v>
      </c>
      <c r="B45" s="2" t="str">
        <f>[1]Products!B3233</f>
        <v>TOBIGO MUFFINS VANILLE 30 UN</v>
      </c>
      <c r="C45" s="2" t="str">
        <f t="shared" si="0"/>
        <v>Tobigo</v>
      </c>
    </row>
    <row r="46" spans="1:3" ht="18" hidden="1" customHeight="1" x14ac:dyDescent="0.3">
      <c r="A46" s="2" t="str">
        <f>[1]Products!A3234</f>
        <v>CF35531</v>
      </c>
      <c r="B46" s="2" t="str">
        <f>[1]Products!B3234</f>
        <v>TOBIGO GÉNIO CACAOTÉ 32 UN</v>
      </c>
      <c r="C46" s="2" t="str">
        <f t="shared" si="0"/>
        <v>Tobigo</v>
      </c>
    </row>
    <row r="47" spans="1:3" ht="18" hidden="1" customHeight="1" x14ac:dyDescent="0.3">
      <c r="A47" s="2" t="str">
        <f>[1]Products!A3518</f>
        <v>ART03301</v>
      </c>
      <c r="B47" s="2" t="str">
        <f>[1]Products!B3518</f>
        <v>Tobigo Petit Beurre Mini Wafers Filled With Chocolate Cream 86g x 12</v>
      </c>
      <c r="C47" s="2" t="str">
        <f t="shared" si="0"/>
        <v>Tobigo</v>
      </c>
    </row>
    <row r="48" spans="1:3" ht="18" hidden="1" customHeight="1" x14ac:dyDescent="0.3">
      <c r="A48" s="2" t="str">
        <f>[1]Products!A3522</f>
        <v>ART03300</v>
      </c>
      <c r="B48" s="2" t="str">
        <f>[1]Products!B3522</f>
        <v>Tobigo Petit Beurre Mini Butter Biscuits 88g x 12</v>
      </c>
      <c r="C48" s="2" t="str">
        <f t="shared" si="0"/>
        <v>Tobigo</v>
      </c>
    </row>
    <row r="49" spans="1:3" ht="18" hidden="1" customHeight="1" x14ac:dyDescent="0.3">
      <c r="A49" s="2" t="str">
        <f>[1]Products!A3523</f>
        <v>ART03302</v>
      </c>
      <c r="B49" s="2" t="str">
        <f>[1]Products!B3523</f>
        <v>Tobigo Petit Beurre Min Cookies With chocolate chips 88g x 12</v>
      </c>
      <c r="C49" s="2" t="str">
        <f t="shared" si="0"/>
        <v>Tobigo</v>
      </c>
    </row>
    <row r="50" spans="1:3" ht="18" hidden="1" customHeight="1" x14ac:dyDescent="0.3">
      <c r="A50" s="2" t="str">
        <f>[1]Products!A4071</f>
        <v>CF35172</v>
      </c>
      <c r="B50" s="2" t="str">
        <f>[1]Products!B4071</f>
        <v>TOBIGO SEAU PATE A TARTINER DWIST 900 G</v>
      </c>
      <c r="C50" s="2" t="str">
        <f t="shared" si="0"/>
        <v>Tobigo</v>
      </c>
    </row>
    <row r="51" spans="1:3" ht="18" hidden="1" customHeight="1" x14ac:dyDescent="0.3">
      <c r="A51" s="2" t="str">
        <f>[1]Products!A4075</f>
        <v>CF35217</v>
      </c>
      <c r="B51" s="2" t="str">
        <f>[1]Products!B4075</f>
        <v>TOBIGO CROUSTY CHOCOLAT CRN 30UN - NC</v>
      </c>
      <c r="C51" s="2" t="str">
        <f t="shared" si="0"/>
        <v>Tobigo</v>
      </c>
    </row>
    <row r="52" spans="1:3" ht="18" hidden="1" customHeight="1" x14ac:dyDescent="0.3">
      <c r="A52" s="2" t="str">
        <f>[1]Products!A4076</f>
        <v>CF35218</v>
      </c>
      <c r="B52" s="2" t="str">
        <f>[1]Products!B4076</f>
        <v>TOBIGO CROUSTY VANILLE CRN 30UN - NC</v>
      </c>
      <c r="C52" s="2" t="str">
        <f t="shared" si="0"/>
        <v>Tobigo</v>
      </c>
    </row>
    <row r="53" spans="1:3" ht="18" hidden="1" customHeight="1" x14ac:dyDescent="0.3">
      <c r="A53" s="2" t="str">
        <f>[1]Products!A4077</f>
        <v>CF35219</v>
      </c>
      <c r="B53" s="2" t="str">
        <f>[1]Products!B4077</f>
        <v>TOBIGO CROUSTY CITRON CRN 30UN - NC</v>
      </c>
      <c r="C53" s="2" t="str">
        <f t="shared" si="0"/>
        <v>Tobigo</v>
      </c>
    </row>
    <row r="54" spans="1:3" ht="18" hidden="1" customHeight="1" x14ac:dyDescent="0.3">
      <c r="A54" s="2" t="str">
        <f>[1]Products!A4094</f>
        <v>CF35221</v>
      </c>
      <c r="B54" s="2" t="str">
        <f>[1]Products!B4094</f>
        <v>TOBIGO BLÉO CHOCO CRN 30UN - NC</v>
      </c>
      <c r="C54" s="2" t="str">
        <f t="shared" si="0"/>
        <v>Tobigo</v>
      </c>
    </row>
    <row r="55" spans="1:3" ht="18" hidden="1" customHeight="1" x14ac:dyDescent="0.3">
      <c r="A55" s="2" t="str">
        <f>[1]Products!A4095</f>
        <v>CF35226</v>
      </c>
      <c r="B55" s="2" t="str">
        <f>[1]Products!B4095</f>
        <v>TOBIGO BLÉO CREAM CRN 30UN - NC</v>
      </c>
      <c r="C55" s="2" t="str">
        <f t="shared" si="0"/>
        <v>Tobigo</v>
      </c>
    </row>
    <row r="56" spans="1:3" ht="18" hidden="1" customHeight="1" x14ac:dyDescent="0.3">
      <c r="A56" s="2" t="str">
        <f>[1]Products!A4096</f>
        <v>CF35227</v>
      </c>
      <c r="B56" s="2" t="str">
        <f>[1]Products!B4096</f>
        <v>TOBIGO ROUNDY CHOCO  30UN - NC</v>
      </c>
      <c r="C56" s="2" t="str">
        <f t="shared" si="0"/>
        <v>Tobigo</v>
      </c>
    </row>
    <row r="57" spans="1:3" ht="18" hidden="1" customHeight="1" x14ac:dyDescent="0.3">
      <c r="A57" s="2" t="str">
        <f>[1]Products!A4097</f>
        <v>CF35235</v>
      </c>
      <c r="B57" s="2" t="str">
        <f>[1]Products!B4097</f>
        <v>TOBIGO CROUSTY FRAMBOISE CRN 30UN - NC</v>
      </c>
      <c r="C57" s="2" t="str">
        <f t="shared" si="0"/>
        <v>Tobigo</v>
      </c>
    </row>
    <row r="58" spans="1:3" ht="18" hidden="1" customHeight="1" x14ac:dyDescent="0.3">
      <c r="A58" s="2" t="str">
        <f>[1]Products!A4098</f>
        <v>CF35237</v>
      </c>
      <c r="B58" s="2" t="str">
        <f>[1]Products!B4098</f>
        <v>TOBIGO ROUNDY VANILLE 30UN - NC</v>
      </c>
      <c r="C58" s="2" t="str">
        <f t="shared" si="0"/>
        <v>Tobigo</v>
      </c>
    </row>
    <row r="59" spans="1:3" ht="18" hidden="1" customHeight="1" x14ac:dyDescent="0.3">
      <c r="A59" s="2" t="str">
        <f>[1]Products!A4099</f>
        <v>CF35238</v>
      </c>
      <c r="B59" s="2" t="str">
        <f>[1]Products!B4099</f>
        <v>TOBIGO ROUNDY CACAOTE VANILLE 30UN - NC</v>
      </c>
      <c r="C59" s="2" t="str">
        <f t="shared" si="0"/>
        <v>Tobigo</v>
      </c>
    </row>
    <row r="60" spans="1:3" ht="18" hidden="1" customHeight="1" x14ac:dyDescent="0.3">
      <c r="A60" s="2" t="str">
        <f>[1]Products!A4100</f>
        <v>CF35240</v>
      </c>
      <c r="B60" s="2" t="str">
        <f>[1]Products!B4100</f>
        <v>TOBIGO PYRAMIDO MEGA CITRON CRN 30UN -NC</v>
      </c>
      <c r="C60" s="2" t="str">
        <f t="shared" si="0"/>
        <v>Tobigo</v>
      </c>
    </row>
    <row r="61" spans="1:3" ht="18" hidden="1" customHeight="1" x14ac:dyDescent="0.3">
      <c r="A61" s="2" t="str">
        <f>[1]Products!A4101</f>
        <v>CF35241</v>
      </c>
      <c r="B61" s="2" t="str">
        <f>[1]Products!B4101</f>
        <v>TOBIGO PYRAMIDO MEGA CHOCO CRN 30UN - NC</v>
      </c>
      <c r="C61" s="2" t="str">
        <f t="shared" si="0"/>
        <v>Tobigo</v>
      </c>
    </row>
    <row r="62" spans="1:3" ht="18" hidden="1" customHeight="1" x14ac:dyDescent="0.3">
      <c r="A62" s="2" t="str">
        <f>[1]Products!A4102</f>
        <v>CF35249</v>
      </c>
      <c r="B62" s="2" t="str">
        <f>[1]Products!B4102</f>
        <v>TOBIGO CROUSTY HAWAI CRN 30UN</v>
      </c>
      <c r="C62" s="2" t="str">
        <f t="shared" si="0"/>
        <v>Tobigo</v>
      </c>
    </row>
    <row r="63" spans="1:3" ht="18" hidden="1" customHeight="1" x14ac:dyDescent="0.3">
      <c r="A63" s="2" t="str">
        <f>[1]Products!A4105</f>
        <v>CF35901</v>
      </c>
      <c r="B63" s="2" t="str">
        <f>[1]Products!B4105</f>
        <v>TOBIGO GENIO 40G 32 UN</v>
      </c>
      <c r="C63" s="2" t="str">
        <f t="shared" si="0"/>
        <v>Tobigo</v>
      </c>
    </row>
    <row r="64" spans="1:3" ht="18" hidden="1" customHeight="1" x14ac:dyDescent="0.3">
      <c r="A64" s="2" t="str">
        <f>[1]Products!A4106</f>
        <v>CF35902</v>
      </c>
      <c r="B64" s="2" t="str">
        <f>[1]Products!B4106</f>
        <v>TOBIGO TWISTER 32 UN</v>
      </c>
      <c r="C64" s="2" t="str">
        <f t="shared" si="0"/>
        <v>Tobigo</v>
      </c>
    </row>
    <row r="65" spans="1:3" ht="18" hidden="1" customHeight="1" x14ac:dyDescent="0.3">
      <c r="A65" s="2" t="str">
        <f>[1]Products!A4107</f>
        <v>CF35903</v>
      </c>
      <c r="B65" s="2" t="str">
        <f>[1]Products!B4107</f>
        <v>TOBIGO JELLY 24 UN</v>
      </c>
      <c r="C65" s="2" t="str">
        <f t="shared" si="0"/>
        <v>Tobigo</v>
      </c>
    </row>
    <row r="66" spans="1:3" ht="18" hidden="1" customHeight="1" x14ac:dyDescent="0.3">
      <c r="A66" s="2" t="str">
        <f>[1]Products!A4108</f>
        <v>CF35904</v>
      </c>
      <c r="B66" s="2" t="str">
        <f>[1]Products!B4108</f>
        <v>TOBIGO TWISTER CACAOTE 32 UN</v>
      </c>
      <c r="C66" s="2" t="str">
        <f t="shared" ref="C66:C129" si="1">IF(OR(ISNUMBER(SEARCH("SELHAM",B66)),ISNUMBER(SEARCH("LHAFLA",B66)),ISNUMBER(SEARCH("ZINE",B66)),ISNUMBER(SEARCH("tiyay",B66)),ISNUMBER(SEARCH("alouns",B66)),ISNUMBER(SEARCH("lmhrat",B66))),"The Al Itkane",IF(AND(ISNUMBER(SEARCH("CALIN",B66)),ISNUMBER(SEARCH("RP",B66)),NOT(ISNUMBER(SEARCH("VP",B66)))),"Calin RP",IF(AND(ISNUMBER(SEARCH("CALIN",B66)),ISNUMBER(SEARCH("VP",B66))),"Calin VP",IF(AND(ISNUMBER(SEARCH("MIO",B66)),OR(ISNUMBER(SEARCH("Vaisselle",B66)),ISNUMBER(SEARCH("vaisselle",B66)))),"Mio Liquid Vaisselle",IF(AND(ISNUMBER(SEARCH("MIO",B66)),ISNUMBER(SEARCH("Javel",B66))),"Mio Javel",IF(AND(ISNUMBER(SEARCH("MIO",B66)),ISNUMBER(SEARCH("Matic",B66))),"Mio Matic",IF(AND(ISNUMBER(SEARCH("MIO",B66)),OR(ISNUMBER(SEARCH("Détérgent",B66)),ISNUMBER(SEARCH("Poudre",B66)),ISNUMBER(SEARCH("Semi Auto",B66)),ISNUMBER(SEARCH("1KG",B66)),ISNUMBER(SEARCH("500G",B66)),ISNUMBER(SEARCH("10KG",B66)),ISNUMBER(SEARCH("1.5K",B66)),ISNUMBER(SEARCH("215G",B66)),ISNUMBER(SEARCH("350G",B66)),ISNUMBER(SEARCH("90G",B66)),ISNUMBER(SEARCH("Gold",B66)),ISNUMBER(SEARCH("Citron",B66)),ISNUMBER(SEARCH("Rose",B66)),ISNUMBER(SEARCH("Lessive",B66))),NOT(OR(ISNUMBER(SEARCH("Vaisselle",B66)),ISNUMBER(SEARCH("Javel",B66)),ISNUMBER(SEARCH("Matic",B66)),ISNUMBER(SEARCH("Nettoyant",B66)),ISNUMBER(SEARCH("Pâte",B66)),ISNUMBER(SEARCH("Lave",B66)),ISNUMBER(SEARCH("Détartrant",B66))))),"Mio main (1k+500gr)",IF(AND(ISNUMBER(SEARCH("PAPILLON",B66)),OR(ISNUMBER(SEARCH("Papier",B66)),ISNUMBER(SEARCH("Hygiénique",B66)),ISNUMBER(SEARCH("HYGIÉNIQUE",B66))),NOT(OR(ISNUMBER(SEARCH("Lingette",B66)),ISNUMBER(SEARCH("Mouchoir",B66))))),"Papillon Papier",IF(OR(ISNUMBER(SEARCH("TAJ AL SAHAR",B66)),ISNUMBER(SEARCH("TAJ BLADI",B66)),ISNUMBER(SEARCH("TAJ BELADI",B66)),ISNUMBER(SEARCH("Tilal Assahra",B66)),ISNUMBER(SEARCH("Jawharat Asahra",B66))),"TAJ SAHARA",IF(AND(OR(ISNUMBER(SEARCH("AL ITKANE",B66)),ISNUMBER(SEARCH("ALITKANE",B66)),ISNUMBER(SEARCH("PRESTO",B66))),NOT(OR(ISNUMBER(SEARCH("Thé",B66)),ISNUMBER(SEARCH("THE ",B66)),ISNUMBER(SEARCH("thé",B66)),ISNUMBER(SEARCH("SELHAM",B66)),ISNUMBER(SEARCH("LHAFLA",B66)),ISNUMBER(SEARCH("ZINE",B66)),ISNUMBER(SEARCH("tiyay",B66)),ISNUMBER(SEARCH("alouns",B66)),ISNUMBER(SEARCH("lmhrat",B66))))),"Al Itkrans + Presto",IF(OR(ISNUMBER(SEARCH("DALAA",B66)),ISNUMBER(SEARCH("CS-DALAA",B66)),ISNUMBER(SEARCH("DALINA",B66))),"Dalaa VP / Baqqal / RP",IF(OR(LEFT(UPPER(B66),4)="MIA ",LEFT(UPPER(B66),6)="CS-MIA"),"Mia",IF(OR(LEFT(UPPER(B66),5)="NOVA ",LEFT(UPPER(B66),7)="CS-NOVA"),"Nova",IF(OR(ISNUMBER(SEARCH("PRIMA ",B66)),ISNUMBER(SEARCH("CS-PRIMA",B66))),"Prima",IF(OR(ISNUMBER(SEARCH("Douceur",B66)),ISNUMBER(SEARCH("DOUCEUR",B66))),"Douceur",IF(OR(ISNUMBER(SEARCH("SANGO",B66)),ISNUMBER(SEARCH("CS-SANGO",B66))),"SANGO",IF(ISNUMBER(SEARCH("BLANDOUX",B66)),"Blandoux",IF(ISNUMBER(SEARCH("SHIWAMI",B66)),"Shiwame",IF(ISNUMBER(SEARCH("KELLOGG",B66)),"Kelloggs",IF(OR(ISNUMBER(SEARCH("TOBIGO",B66)),ISNUMBER(SEARCH("DWIST",B66))),"Tobigo",IF(OR(ISNUMBER(SEARCH("MARISOL",B66)),ISNUMBER(SEARCH("MARESOL",B66))),"Maresol",IF(OR(ISNUMBER(SEARCH("TAKIS",B66)),ISNUMBER(SEARCH("TAKYS",B66))),"TAKYS",IF(ISNUMBER(SEARCH("TAWIL",B66)),"Tawil",IF(ISNUMBER(SEARCH("FROMY",B66)),"Fromy",""))))))))))))))))))))))))</f>
        <v>Tobigo</v>
      </c>
    </row>
    <row r="67" spans="1:3" ht="18" hidden="1" customHeight="1" x14ac:dyDescent="0.3">
      <c r="A67" s="2" t="str">
        <f>[1]Products!A4109</f>
        <v>CF35914</v>
      </c>
      <c r="B67" s="2" t="str">
        <f>[1]Products!B4109</f>
        <v>TOBIGO - MASTER COOKIES - 30 UN</v>
      </c>
      <c r="C67" s="2" t="str">
        <f t="shared" si="1"/>
        <v>Tobigo</v>
      </c>
    </row>
    <row r="68" spans="1:3" ht="18" hidden="1" customHeight="1" x14ac:dyDescent="0.3">
      <c r="A68" s="2" t="str">
        <f>[1]Products!A4110</f>
        <v>CF35916</v>
      </c>
      <c r="B68" s="2" t="str">
        <f>[1]Products!B4110</f>
        <v>TOBIGO NAPOLI CRN 30UN</v>
      </c>
      <c r="C68" s="2" t="str">
        <f t="shared" si="1"/>
        <v>Tobigo</v>
      </c>
    </row>
    <row r="69" spans="1:3" ht="18" hidden="1" customHeight="1" x14ac:dyDescent="0.3">
      <c r="A69" s="2" t="str">
        <f>[1]Products!A4178</f>
        <v>CF35208</v>
      </c>
      <c r="B69" s="2" t="str">
        <f>[1]Products!B4178</f>
        <v>DWIST GAUFRETTE LAO DUO 60 UN</v>
      </c>
      <c r="C69" s="2" t="str">
        <f t="shared" si="1"/>
        <v>Tobigo</v>
      </c>
    </row>
    <row r="70" spans="1:3" ht="18" hidden="1" customHeight="1" x14ac:dyDescent="0.3">
      <c r="A70" s="2" t="str">
        <f>[1]Products!A4179</f>
        <v>CF35210</v>
      </c>
      <c r="B70" s="2" t="str">
        <f>[1]Products!B4179</f>
        <v>DWIST GAUFRETTE CHOCOLATñ 60UN</v>
      </c>
      <c r="C70" s="2" t="str">
        <f t="shared" si="1"/>
        <v>Tobigo</v>
      </c>
    </row>
    <row r="71" spans="1:3" ht="18" hidden="1" customHeight="1" x14ac:dyDescent="0.3">
      <c r="A71" s="2" t="str">
        <f>[1]Products!A4180</f>
        <v>CF35212</v>
      </c>
      <c r="B71" s="2" t="str">
        <f>[1]Products!B4180</f>
        <v>DWIST GAUFRETTE SAVEUR VANILLE 24G 60UN</v>
      </c>
      <c r="C71" s="2" t="str">
        <f t="shared" si="1"/>
        <v>Tobigo</v>
      </c>
    </row>
    <row r="72" spans="1:3" ht="18" hidden="1" customHeight="1" x14ac:dyDescent="0.3">
      <c r="A72" s="2" t="str">
        <f>[1]Products!A4181</f>
        <v>CF35213</v>
      </c>
      <c r="B72" s="2" t="str">
        <f>[1]Products!B4181</f>
        <v>DWIST LOOPY 25G CRN 60 UN</v>
      </c>
      <c r="C72" s="2" t="str">
        <f t="shared" si="1"/>
        <v>Tobigo</v>
      </c>
    </row>
    <row r="73" spans="1:3" ht="18" hidden="1" customHeight="1" x14ac:dyDescent="0.3">
      <c r="A73" s="2" t="str">
        <f>[1]Products!A4183</f>
        <v>CF35900</v>
      </c>
      <c r="B73" s="2" t="str">
        <f>[1]Products!B4183</f>
        <v>TOBIGO GUSTY 30 UN</v>
      </c>
      <c r="C73" s="2" t="str">
        <f t="shared" si="1"/>
        <v>Tobigo</v>
      </c>
    </row>
    <row r="74" spans="1:3" ht="18" hidden="1" customHeight="1" x14ac:dyDescent="0.3">
      <c r="A74" s="2" t="str">
        <f>[1]Products!A4184</f>
        <v>CF35246</v>
      </c>
      <c r="B74" s="2" t="str">
        <f>[1]Products!B4184</f>
        <v>TOBIGO PETIT CROC CRN 30UN</v>
      </c>
      <c r="C74" s="2" t="str">
        <f t="shared" si="1"/>
        <v>Tobigo</v>
      </c>
    </row>
    <row r="75" spans="1:3" ht="18" hidden="1" customHeight="1" x14ac:dyDescent="0.3">
      <c r="A75" s="2" t="str">
        <f>[1]Products!A4185</f>
        <v>CF35245</v>
      </c>
      <c r="B75" s="2" t="str">
        <f>[1]Products!B4185</f>
        <v>TOBIGO PETIT CROC PEPITES CRN 30UN</v>
      </c>
      <c r="C75" s="2" t="str">
        <f t="shared" si="1"/>
        <v>Tobigo</v>
      </c>
    </row>
    <row r="76" spans="1:3" ht="18" hidden="1" customHeight="1" x14ac:dyDescent="0.3">
      <c r="A76" s="2" t="str">
        <f>[1]Products!A4186</f>
        <v>CF35171</v>
      </c>
      <c r="B76" s="2" t="str">
        <f>[1]Products!B4186</f>
        <v>Seau pate à tartiner DWIST 450 G</v>
      </c>
      <c r="C76" s="2" t="str">
        <f t="shared" si="1"/>
        <v>Tobigo</v>
      </c>
    </row>
    <row r="77" spans="1:3" ht="18" hidden="1" customHeight="1" x14ac:dyDescent="0.3">
      <c r="A77" s="2" t="str">
        <f>[1]Products!A4187</f>
        <v>CF35198</v>
      </c>
      <c r="B77" s="2" t="str">
        <f>[1]Products!B4187</f>
        <v>TOBIGO SNOOKIES CHOCOLAT-CAISSE DE 24 UN</v>
      </c>
      <c r="C77" s="2" t="str">
        <f t="shared" si="1"/>
        <v>Tobigo</v>
      </c>
    </row>
    <row r="78" spans="1:3" ht="18" hidden="1" customHeight="1" x14ac:dyDescent="0.3">
      <c r="A78" s="2" t="str">
        <f>[1]Products!A4188</f>
        <v>CF35199</v>
      </c>
      <c r="B78" s="2" t="str">
        <f>[1]Products!B4188</f>
        <v>TOBIGO SNOOKIES VANILLE -CAISSE DE 24 UN</v>
      </c>
      <c r="C78" s="2" t="str">
        <f t="shared" si="1"/>
        <v>Tobigo</v>
      </c>
    </row>
    <row r="79" spans="1:3" ht="18" hidden="1" customHeight="1" x14ac:dyDescent="0.3">
      <c r="A79" s="2" t="str">
        <f>[1]Products!A4190</f>
        <v>CF35223</v>
      </c>
      <c r="B79" s="2" t="str">
        <f>[1]Products!B4190</f>
        <v>TOBIGO MINI CROUSTY CHOCO†90G CRN 12UN</v>
      </c>
      <c r="C79" s="2" t="str">
        <f t="shared" si="1"/>
        <v>Tobigo</v>
      </c>
    </row>
    <row r="80" spans="1:3" ht="18" hidden="1" customHeight="1" x14ac:dyDescent="0.3">
      <c r="A80" s="2" t="str">
        <f>[1]Products!A4191</f>
        <v>CF35224</v>
      </c>
      <c r="B80" s="2" t="str">
        <f>[1]Products!B4191</f>
        <v>TOBIGO MINI CROUSTY VANIL 90G CRN 12UN</v>
      </c>
      <c r="C80" s="2" t="str">
        <f t="shared" si="1"/>
        <v>Tobigo</v>
      </c>
    </row>
    <row r="81" spans="1:3" ht="18" hidden="1" customHeight="1" x14ac:dyDescent="0.3">
      <c r="A81" s="2" t="str">
        <f>[1]Products!A4192</f>
        <v>CF35225</v>
      </c>
      <c r="B81" s="2" t="str">
        <f>[1]Products!B4192</f>
        <v>TOBIGO MINI†CROUSTY†CITRON†90G CRN 12UN</v>
      </c>
      <c r="C81" s="2" t="str">
        <f t="shared" si="1"/>
        <v>Tobigo</v>
      </c>
    </row>
    <row r="82" spans="1:3" ht="18" hidden="1" customHeight="1" x14ac:dyDescent="0.3">
      <c r="A82" s="2" t="str">
        <f>[1]Products!A4193</f>
        <v>CF35239</v>
      </c>
      <c r="B82" s="2" t="str">
        <f>[1]Products!B4193</f>
        <v>TOBIGO MINI†CROUSTY†FRAMBOISE90G CRN12UN</v>
      </c>
      <c r="C82" s="2" t="str">
        <f t="shared" si="1"/>
        <v>Tobigo</v>
      </c>
    </row>
    <row r="83" spans="1:3" ht="18" hidden="1" customHeight="1" x14ac:dyDescent="0.3">
      <c r="A83" s="2" t="str">
        <f>[1]Products!A4194</f>
        <v>CF35242</v>
      </c>
      <c r="B83" s="2" t="str">
        <f>[1]Products!B4194</f>
        <v>TOBIGO SUNNY 64G CRN 24UN</v>
      </c>
      <c r="C83" s="2" t="str">
        <f t="shared" si="1"/>
        <v>Tobigo</v>
      </c>
    </row>
    <row r="84" spans="1:3" ht="18" hidden="1" customHeight="1" x14ac:dyDescent="0.3">
      <c r="A84" s="2" t="str">
        <f>[1]Products!A4195</f>
        <v>CF35265</v>
      </c>
      <c r="B84" s="2" t="str">
        <f>[1]Products!B4195</f>
        <v>TOBIGO DONITO ALL BLACK CRN 30UN</v>
      </c>
      <c r="C84" s="2" t="str">
        <f t="shared" si="1"/>
        <v>Tobigo</v>
      </c>
    </row>
    <row r="85" spans="1:3" ht="18" hidden="1" customHeight="1" x14ac:dyDescent="0.3">
      <c r="A85" s="2" t="str">
        <f>[1]Products!A4196</f>
        <v>CF35530</v>
      </c>
      <c r="B85" s="2" t="str">
        <f>[1]Products!B4196</f>
        <v>TOBIGO MUFFINS CACAOTÉ 30 UN</v>
      </c>
      <c r="C85" s="2" t="str">
        <f t="shared" si="1"/>
        <v>Tobigo</v>
      </c>
    </row>
    <row r="86" spans="1:3" ht="18" hidden="1" customHeight="1" x14ac:dyDescent="0.3">
      <c r="A86" s="2" t="str">
        <f>[1]Products!A4197</f>
        <v>CF35120</v>
      </c>
      <c r="B86" s="2" t="str">
        <f>[1]Products!B4197</f>
        <v>TOBIGO MINI CROUSTY CHOCO†90G CRN 12UN</v>
      </c>
      <c r="C86" s="2" t="str">
        <f t="shared" si="1"/>
        <v>Tobigo</v>
      </c>
    </row>
    <row r="87" spans="1:3" ht="18" hidden="1" customHeight="1" x14ac:dyDescent="0.3">
      <c r="A87" s="2" t="str">
        <f>[1]Products!A4198</f>
        <v>CF35121</v>
      </c>
      <c r="B87" s="2" t="str">
        <f>[1]Products!B4198</f>
        <v>TOBIGO MINI CROUSTY VANIL 90G CRN 12UN</v>
      </c>
      <c r="C87" s="2" t="str">
        <f t="shared" si="1"/>
        <v>Tobigo</v>
      </c>
    </row>
    <row r="88" spans="1:3" ht="18" hidden="1" customHeight="1" x14ac:dyDescent="0.3">
      <c r="A88" s="2" t="str">
        <f>[1]Products!A4199</f>
        <v>CF35122</v>
      </c>
      <c r="B88" s="2" t="str">
        <f>[1]Products!B4199</f>
        <v>TOBIGO MINI†CROUSTY†CITRON†90G CRN 12UN</v>
      </c>
      <c r="C88" s="2" t="str">
        <f t="shared" si="1"/>
        <v>Tobigo</v>
      </c>
    </row>
    <row r="89" spans="1:3" ht="18" hidden="1" customHeight="1" x14ac:dyDescent="0.3">
      <c r="A89" s="2" t="str">
        <f>[1]Products!A4200</f>
        <v>CF35178</v>
      </c>
      <c r="B89" s="2" t="str">
        <f>[1]Products!B4200</f>
        <v>TOBIGO MINI†CROUSTY†FRAMBOISE90G CRN12UN</v>
      </c>
      <c r="C89" s="2" t="str">
        <f t="shared" si="1"/>
        <v>Tobigo</v>
      </c>
    </row>
    <row r="90" spans="1:3" ht="18" hidden="1" customHeight="1" x14ac:dyDescent="0.3">
      <c r="A90" s="2" t="str">
        <f>[1]Products!A4201</f>
        <v>CF35197</v>
      </c>
      <c r="B90" s="2" t="str">
        <f>[1]Products!B4201</f>
        <v>TOBIGO SUNNY 64G CRN 24UN</v>
      </c>
      <c r="C90" s="2" t="str">
        <f t="shared" si="1"/>
        <v>Tobigo</v>
      </c>
    </row>
    <row r="91" spans="1:3" ht="18" hidden="1" customHeight="1" x14ac:dyDescent="0.3">
      <c r="A91" s="2" t="str">
        <f>[1]Products!A4202</f>
        <v>CF35118</v>
      </c>
      <c r="B91" s="2" t="str">
        <f>[1]Products!B4202</f>
        <v>TOBIGO MINI COOKIES 90G CRN 12UN</v>
      </c>
      <c r="C91" s="2" t="str">
        <f t="shared" si="1"/>
        <v>Tobigo</v>
      </c>
    </row>
    <row r="92" spans="1:3" ht="18" hidden="1" customHeight="1" x14ac:dyDescent="0.3">
      <c r="A92" s="2" t="str">
        <f>[1]Products!A4203</f>
        <v>CF35127</v>
      </c>
      <c r="B92" s="2" t="str">
        <f>[1]Products!B4203</f>
        <v>TOBIGO ROUNDY CHOCO 60G 30UN</v>
      </c>
      <c r="C92" s="2" t="str">
        <f t="shared" si="1"/>
        <v>Tobigo</v>
      </c>
    </row>
    <row r="93" spans="1:3" ht="18" hidden="1" customHeight="1" x14ac:dyDescent="0.3">
      <c r="A93" s="2" t="str">
        <f>[1]Products!A3631</f>
        <v>ART03422</v>
      </c>
      <c r="B93" s="2" t="str">
        <f>[1]Products!B3631</f>
        <v>AL ITKANE Thé Selham Haute Qualité 200G</v>
      </c>
      <c r="C93" s="2" t="str">
        <f t="shared" si="1"/>
        <v>The Al Itkane</v>
      </c>
    </row>
    <row r="94" spans="1:3" ht="18" hidden="1" customHeight="1" x14ac:dyDescent="0.3">
      <c r="A94" s="2" t="str">
        <f>[1]Products!A3670</f>
        <v>ART03417</v>
      </c>
      <c r="B94" s="2" t="str">
        <f>[1]Products!B3670</f>
        <v>TIYAY 41022 The Chaara 200G</v>
      </c>
      <c r="C94" s="2" t="str">
        <f t="shared" si="1"/>
        <v>The Al Itkane</v>
      </c>
    </row>
    <row r="95" spans="1:3" ht="18" hidden="1" customHeight="1" x14ac:dyDescent="0.3">
      <c r="A95" s="2" t="str">
        <f>[1]Products!A4063</f>
        <v>CF34026</v>
      </c>
      <c r="B95" s="2" t="str">
        <f>[1]Products!B4063</f>
        <v>THE SELHAM 200G</v>
      </c>
      <c r="C95" s="2" t="str">
        <f t="shared" si="1"/>
        <v>The Al Itkane</v>
      </c>
    </row>
    <row r="96" spans="1:3" ht="18" hidden="1" customHeight="1" x14ac:dyDescent="0.3">
      <c r="A96" s="2" t="str">
        <f>[1]Products!A4068</f>
        <v>CF34069</v>
      </c>
      <c r="B96" s="2" t="str">
        <f>[1]Products!B4068</f>
        <v>THE ZINE 200G</v>
      </c>
      <c r="C96" s="2" t="str">
        <f t="shared" si="1"/>
        <v>The Al Itkane</v>
      </c>
    </row>
    <row r="97" spans="1:3" ht="18" hidden="1" customHeight="1" x14ac:dyDescent="0.3">
      <c r="A97" s="2" t="str">
        <f>[1]Products!A4070</f>
        <v>CF34070</v>
      </c>
      <c r="B97" s="2" t="str">
        <f>[1]Products!B4070</f>
        <v>THE ZINE 500 G</v>
      </c>
      <c r="C97" s="2" t="str">
        <f t="shared" si="1"/>
        <v>The Al Itkane</v>
      </c>
    </row>
    <row r="98" spans="1:3" ht="18" hidden="1" customHeight="1" x14ac:dyDescent="0.3">
      <c r="A98" s="2" t="str">
        <f>[1]Products!A4087</f>
        <v>CF34027</v>
      </c>
      <c r="B98" s="2" t="str">
        <f>[1]Products!B4087</f>
        <v>Thé LHAFLA 200G</v>
      </c>
      <c r="C98" s="2" t="str">
        <f t="shared" si="1"/>
        <v>The Al Itkane</v>
      </c>
    </row>
    <row r="99" spans="1:3" ht="18" hidden="1" customHeight="1" x14ac:dyDescent="0.3">
      <c r="A99" s="2" t="str">
        <f>[1]Products!A4088</f>
        <v>CF34029</v>
      </c>
      <c r="B99" s="2" t="str">
        <f>[1]Products!B4088</f>
        <v>Thé LHAFLA 100G</v>
      </c>
      <c r="C99" s="2" t="str">
        <f t="shared" si="1"/>
        <v>The Al Itkane</v>
      </c>
    </row>
    <row r="100" spans="1:3" ht="18" hidden="1" customHeight="1" x14ac:dyDescent="0.3">
      <c r="A100" s="2" t="str">
        <f>[1]Products!A4089</f>
        <v>CF34030</v>
      </c>
      <c r="B100" s="2" t="str">
        <f>[1]Products!B4089</f>
        <v>THE SELHAM 100G</v>
      </c>
      <c r="C100" s="2" t="str">
        <f t="shared" si="1"/>
        <v>The Al Itkane</v>
      </c>
    </row>
    <row r="101" spans="1:3" ht="18" hidden="1" customHeight="1" x14ac:dyDescent="0.3">
      <c r="A101" s="2" t="str">
        <f>[1]Products!A4090</f>
        <v>CF34046</v>
      </c>
      <c r="B101" s="2" t="str">
        <f>[1]Products!B4090</f>
        <v>thé lmhrat 143g</v>
      </c>
      <c r="C101" s="2" t="str">
        <f t="shared" si="1"/>
        <v>The Al Itkane</v>
      </c>
    </row>
    <row r="102" spans="1:3" ht="18" hidden="1" customHeight="1" x14ac:dyDescent="0.3">
      <c r="A102" s="2" t="str">
        <f>[1]Products!A4091</f>
        <v>CF34062</v>
      </c>
      <c r="B102" s="2" t="str">
        <f>[1]Products!B4091</f>
        <v>Thé tiyay 41022 200g</v>
      </c>
      <c r="C102" s="2" t="str">
        <f t="shared" si="1"/>
        <v>The Al Itkane</v>
      </c>
    </row>
    <row r="103" spans="1:3" ht="18" hidden="1" customHeight="1" x14ac:dyDescent="0.3">
      <c r="A103" s="2" t="str">
        <f>[1]Products!A4092</f>
        <v>CF34063</v>
      </c>
      <c r="B103" s="2" t="str">
        <f>[1]Products!B4092</f>
        <v>Thé tiyay 41022 500g</v>
      </c>
      <c r="C103" s="2" t="str">
        <f t="shared" si="1"/>
        <v>The Al Itkane</v>
      </c>
    </row>
    <row r="104" spans="1:3" ht="18" hidden="1" customHeight="1" x14ac:dyDescent="0.3">
      <c r="A104" s="2" t="str">
        <f>[1]Products!A4093</f>
        <v>CF34068</v>
      </c>
      <c r="B104" s="2" t="str">
        <f>[1]Products!B4093</f>
        <v>Thé alouns 200g</v>
      </c>
      <c r="C104" s="2" t="str">
        <f t="shared" si="1"/>
        <v>The Al Itkane</v>
      </c>
    </row>
    <row r="105" spans="1:3" ht="18" hidden="1" customHeight="1" x14ac:dyDescent="0.3">
      <c r="A105" s="2" t="str">
        <f>[1]Products!A1098</f>
        <v>ART03641</v>
      </c>
      <c r="B105" s="2" t="str">
        <f>[1]Products!B1098</f>
        <v>TAWIL Eau de Javel Régulier 1L</v>
      </c>
      <c r="C105" s="2" t="str">
        <f t="shared" si="1"/>
        <v>Tawil</v>
      </c>
    </row>
    <row r="106" spans="1:3" ht="18" hidden="1" customHeight="1" x14ac:dyDescent="0.3">
      <c r="A106" s="2" t="str">
        <f>[1]Products!A1099</f>
        <v>ART03642</v>
      </c>
      <c r="B106" s="2" t="str">
        <f>[1]Products!B1099</f>
        <v>TAWIL Eau de Javel Lavande 1L</v>
      </c>
      <c r="C106" s="2" t="str">
        <f t="shared" si="1"/>
        <v>Tawil</v>
      </c>
    </row>
    <row r="107" spans="1:3" ht="18" hidden="1" customHeight="1" x14ac:dyDescent="0.3">
      <c r="A107" s="2" t="str">
        <f>[1]Products!A1100</f>
        <v>ART03643</v>
      </c>
      <c r="B107" s="2" t="str">
        <f>[1]Products!B1100</f>
        <v>TAWIL Eau de Javel Citron 1L</v>
      </c>
      <c r="C107" s="2" t="str">
        <f t="shared" si="1"/>
        <v>Tawil</v>
      </c>
    </row>
    <row r="108" spans="1:3" ht="18" hidden="1" customHeight="1" x14ac:dyDescent="0.3">
      <c r="A108" s="2" t="str">
        <f>[1]Products!A1110</f>
        <v>ART03644</v>
      </c>
      <c r="B108" s="2" t="str">
        <f>[1]Products!B1110</f>
        <v>TAWIL Eau de Javel Régulier 2.5 L</v>
      </c>
      <c r="C108" s="2" t="str">
        <f t="shared" si="1"/>
        <v>Tawil</v>
      </c>
    </row>
    <row r="109" spans="1:3" ht="18" hidden="1" customHeight="1" x14ac:dyDescent="0.3">
      <c r="A109" s="2" t="str">
        <f>[1]Products!A1117</f>
        <v>ART03645</v>
      </c>
      <c r="B109" s="2" t="str">
        <f>[1]Products!B1117</f>
        <v>TAWIL Eau de Javel Lavande 2.5 L</v>
      </c>
      <c r="C109" s="2" t="str">
        <f t="shared" si="1"/>
        <v>Tawil</v>
      </c>
    </row>
    <row r="110" spans="1:3" ht="18" hidden="1" customHeight="1" x14ac:dyDescent="0.3">
      <c r="A110" s="2" t="str">
        <f>[1]Products!A1118</f>
        <v>ART03646</v>
      </c>
      <c r="B110" s="2" t="str">
        <f>[1]Products!B1118</f>
        <v>TAWIL Eau de Javel Citron 2.5 L</v>
      </c>
      <c r="C110" s="2" t="str">
        <f t="shared" si="1"/>
        <v>Tawil</v>
      </c>
    </row>
    <row r="111" spans="1:3" ht="18" hidden="1" customHeight="1" x14ac:dyDescent="0.3">
      <c r="A111" s="2" t="str">
        <f>[1]Products!A1119</f>
        <v>ART03647</v>
      </c>
      <c r="B111" s="2" t="str">
        <f>[1]Products!B1119</f>
        <v>TAWIL Eau de Javel Régulier 5L</v>
      </c>
      <c r="C111" s="2" t="str">
        <f t="shared" si="1"/>
        <v>Tawil</v>
      </c>
    </row>
    <row r="112" spans="1:3" ht="18" hidden="1" customHeight="1" x14ac:dyDescent="0.3">
      <c r="A112" s="2" t="str">
        <f>[1]Products!A1120</f>
        <v>ART03649</v>
      </c>
      <c r="B112" s="2" t="str">
        <f>[1]Products!B1120</f>
        <v>TAWIL Eau de Javel Citron 5L</v>
      </c>
      <c r="C112" s="2" t="str">
        <f t="shared" si="1"/>
        <v>Tawil</v>
      </c>
    </row>
    <row r="113" spans="1:3" ht="18" hidden="1" customHeight="1" x14ac:dyDescent="0.3">
      <c r="A113" s="2" t="str">
        <f>[1]Products!A1121</f>
        <v>ART03650</v>
      </c>
      <c r="B113" s="2" t="str">
        <f>[1]Products!B1121</f>
        <v>TAWIL Liquide Vaisselle 300ml Lavande</v>
      </c>
      <c r="C113" s="2" t="str">
        <f t="shared" si="1"/>
        <v>Tawil</v>
      </c>
    </row>
    <row r="114" spans="1:3" ht="18" hidden="1" customHeight="1" x14ac:dyDescent="0.3">
      <c r="A114" s="2" t="str">
        <f>[1]Products!A1122</f>
        <v>ART03651</v>
      </c>
      <c r="B114" s="2" t="str">
        <f>[1]Products!B1122</f>
        <v>TAWIL Liquide Vaisselle 300ml Citron</v>
      </c>
      <c r="C114" s="2" t="str">
        <f t="shared" si="1"/>
        <v>Tawil</v>
      </c>
    </row>
    <row r="115" spans="1:3" ht="18" hidden="1" customHeight="1" x14ac:dyDescent="0.3">
      <c r="A115" s="2" t="str">
        <f>[1]Products!A1123</f>
        <v>ART03652</v>
      </c>
      <c r="B115" s="2" t="str">
        <f>[1]Products!B1123</f>
        <v>TAWIL Liquide Vaisselle 300ml Coco</v>
      </c>
      <c r="C115" s="2" t="str">
        <f t="shared" si="1"/>
        <v>Tawil</v>
      </c>
    </row>
    <row r="116" spans="1:3" ht="18" hidden="1" customHeight="1" x14ac:dyDescent="0.3">
      <c r="A116" s="2" t="str">
        <f>[1]Products!A1124</f>
        <v>ART03653</v>
      </c>
      <c r="B116" s="2" t="str">
        <f>[1]Products!B1124</f>
        <v>TAWIL Liquide Vaisselle 300ml Menthe</v>
      </c>
      <c r="C116" s="2" t="str">
        <f t="shared" si="1"/>
        <v>Tawil</v>
      </c>
    </row>
    <row r="117" spans="1:3" ht="18" hidden="1" customHeight="1" x14ac:dyDescent="0.3">
      <c r="A117" s="2" t="str">
        <f>[1]Products!A1415</f>
        <v>ART03648</v>
      </c>
      <c r="B117" s="2" t="str">
        <f>[1]Products!B1415</f>
        <v>TAWIL Eau de Javel Lavande 5L</v>
      </c>
      <c r="C117" s="2" t="str">
        <f t="shared" si="1"/>
        <v>Tawil</v>
      </c>
    </row>
    <row r="118" spans="1:3" ht="18" hidden="1" customHeight="1" x14ac:dyDescent="0.3">
      <c r="A118" s="2" t="str">
        <f>[1]Products!A1416</f>
        <v>ART03663</v>
      </c>
      <c r="B118" s="2" t="str">
        <f>[1]Products!B1416</f>
        <v>TAWIL Nettoyant Sol 1L Citron</v>
      </c>
      <c r="C118" s="2" t="str">
        <f t="shared" si="1"/>
        <v>Tawil</v>
      </c>
    </row>
    <row r="119" spans="1:3" ht="18" hidden="1" customHeight="1" x14ac:dyDescent="0.3">
      <c r="A119" s="2" t="str">
        <f>[1]Products!A1417</f>
        <v>ART03675</v>
      </c>
      <c r="B119" s="2" t="str">
        <f>[1]Products!B1417</f>
        <v>TAWIL Matic Lessive Liquide Océanique 5L</v>
      </c>
      <c r="C119" s="2" t="str">
        <f t="shared" si="1"/>
        <v>Tawil</v>
      </c>
    </row>
    <row r="120" spans="1:3" ht="18" hidden="1" customHeight="1" x14ac:dyDescent="0.3">
      <c r="A120" s="2" t="str">
        <f>[1]Products!A3390</f>
        <v>ART03668</v>
      </c>
      <c r="B120" s="2" t="str">
        <f>[1]Products!B3390</f>
        <v>TAWIL Nettoyant Sol 5L Rose</v>
      </c>
      <c r="C120" s="2" t="str">
        <f t="shared" si="1"/>
        <v>Tawil</v>
      </c>
    </row>
    <row r="121" spans="1:3" ht="18" hidden="1" customHeight="1" x14ac:dyDescent="0.3">
      <c r="A121" s="2" t="str">
        <f>[1]Products!A3422</f>
        <v>ART03996</v>
      </c>
      <c r="B121" s="2" t="str">
        <f>[1]Products!B3422</f>
        <v>Tawil Antigel 5l</v>
      </c>
      <c r="C121" s="2" t="str">
        <f t="shared" si="1"/>
        <v>Tawil</v>
      </c>
    </row>
    <row r="122" spans="1:3" ht="18" hidden="1" customHeight="1" x14ac:dyDescent="0.3">
      <c r="A122" s="2" t="str">
        <f>[1]Products!A3469</f>
        <v>ART03670</v>
      </c>
      <c r="B122" s="2" t="str">
        <f>[1]Products!B3469</f>
        <v>TAWIL Décapant Four 650ml</v>
      </c>
      <c r="C122" s="2" t="str">
        <f t="shared" si="1"/>
        <v>Tawil</v>
      </c>
    </row>
    <row r="123" spans="1:3" ht="18" hidden="1" customHeight="1" x14ac:dyDescent="0.3">
      <c r="A123" s="2" t="str">
        <f>[1]Products!A3759</f>
        <v>ART03658</v>
      </c>
      <c r="B123" s="2" t="str">
        <f>[1]Products!B3759</f>
        <v>TAWIL Liquide Vaisselle 1250ml Lavande</v>
      </c>
      <c r="C123" s="2" t="str">
        <f t="shared" si="1"/>
        <v>Tawil</v>
      </c>
    </row>
    <row r="124" spans="1:3" ht="18" hidden="1" customHeight="1" x14ac:dyDescent="0.3">
      <c r="A124" s="2" t="str">
        <f>[1]Products!A3847</f>
        <v>ART03661</v>
      </c>
      <c r="B124" s="2" t="str">
        <f>[1]Products!B3847</f>
        <v>TAWIL Liquide Vaisselle 1250ml Menthe</v>
      </c>
      <c r="C124" s="2" t="str">
        <f t="shared" si="1"/>
        <v>Tawil</v>
      </c>
    </row>
    <row r="125" spans="1:3" ht="18" hidden="1" customHeight="1" x14ac:dyDescent="0.3">
      <c r="A125" s="2" t="str">
        <f>[1]Products!A3848</f>
        <v>ART03673</v>
      </c>
      <c r="B125" s="2" t="str">
        <f>[1]Products!B3848</f>
        <v>TAWIL Matic Lessive Liquide Océanique 3L</v>
      </c>
      <c r="C125" s="2" t="str">
        <f t="shared" si="1"/>
        <v>Tawil</v>
      </c>
    </row>
    <row r="126" spans="1:3" ht="18" hidden="1" customHeight="1" x14ac:dyDescent="0.3">
      <c r="A126" s="2" t="str">
        <f>[1]Products!A3881</f>
        <v>ART03654</v>
      </c>
      <c r="B126" s="2" t="str">
        <f>[1]Products!B3881</f>
        <v>TAWIL Liquide Vaisselle 750ml Lavande</v>
      </c>
      <c r="C126" s="2" t="str">
        <f t="shared" si="1"/>
        <v>Tawil</v>
      </c>
    </row>
    <row r="127" spans="1:3" ht="18" hidden="1" customHeight="1" x14ac:dyDescent="0.3">
      <c r="A127" s="2" t="str">
        <f>[1]Products!A3882</f>
        <v>ART03655</v>
      </c>
      <c r="B127" s="2" t="str">
        <f>[1]Products!B3882</f>
        <v>TAWIL Liquide Vaisselle 750ml Citron</v>
      </c>
      <c r="C127" s="2" t="str">
        <f t="shared" si="1"/>
        <v>Tawil</v>
      </c>
    </row>
    <row r="128" spans="1:3" ht="18" hidden="1" customHeight="1" x14ac:dyDescent="0.3">
      <c r="A128" s="2" t="str">
        <f>[1]Products!A3883</f>
        <v>ART03656</v>
      </c>
      <c r="B128" s="2" t="str">
        <f>[1]Products!B3883</f>
        <v>TAWIL Liquide Vaisselle 750ml Coco</v>
      </c>
      <c r="C128" s="2" t="str">
        <f t="shared" si="1"/>
        <v>Tawil</v>
      </c>
    </row>
    <row r="129" spans="1:3" ht="18" hidden="1" customHeight="1" x14ac:dyDescent="0.3">
      <c r="A129" s="2" t="str">
        <f>[1]Products!A3884</f>
        <v>ART03657</v>
      </c>
      <c r="B129" s="2" t="str">
        <f>[1]Products!B3884</f>
        <v>TAWIL Liquide Vaisselle 750ml Menthe</v>
      </c>
      <c r="C129" s="2" t="str">
        <f t="shared" si="1"/>
        <v>Tawil</v>
      </c>
    </row>
    <row r="130" spans="1:3" ht="18" hidden="1" customHeight="1" x14ac:dyDescent="0.3">
      <c r="A130" s="2" t="str">
        <f>[1]Products!A3885</f>
        <v>ART03659</v>
      </c>
      <c r="B130" s="2" t="str">
        <f>[1]Products!B3885</f>
        <v>TAWIL Liquide Vaisselle 1250ml Citron</v>
      </c>
      <c r="C130" s="2" t="str">
        <f t="shared" ref="C130:C177" si="2">IF(OR(ISNUMBER(SEARCH("SELHAM",B130)),ISNUMBER(SEARCH("LHAFLA",B130)),ISNUMBER(SEARCH("ZINE",B130)),ISNUMBER(SEARCH("tiyay",B130)),ISNUMBER(SEARCH("alouns",B130)),ISNUMBER(SEARCH("lmhrat",B130))),"The Al Itkane",IF(AND(ISNUMBER(SEARCH("CALIN",B130)),ISNUMBER(SEARCH("RP",B130)),NOT(ISNUMBER(SEARCH("VP",B130)))),"Calin RP",IF(AND(ISNUMBER(SEARCH("CALIN",B130)),ISNUMBER(SEARCH("VP",B130))),"Calin VP",IF(AND(ISNUMBER(SEARCH("MIO",B130)),OR(ISNUMBER(SEARCH("Vaisselle",B130)),ISNUMBER(SEARCH("vaisselle",B130)))),"Mio Liquid Vaisselle",IF(AND(ISNUMBER(SEARCH("MIO",B130)),ISNUMBER(SEARCH("Javel",B130))),"Mio Javel",IF(AND(ISNUMBER(SEARCH("MIO",B130)),ISNUMBER(SEARCH("Matic",B130))),"Mio Matic",IF(AND(ISNUMBER(SEARCH("MIO",B130)),OR(ISNUMBER(SEARCH("Détérgent",B130)),ISNUMBER(SEARCH("Poudre",B130)),ISNUMBER(SEARCH("Semi Auto",B130)),ISNUMBER(SEARCH("1KG",B130)),ISNUMBER(SEARCH("500G",B130)),ISNUMBER(SEARCH("10KG",B130)),ISNUMBER(SEARCH("1.5K",B130)),ISNUMBER(SEARCH("215G",B130)),ISNUMBER(SEARCH("350G",B130)),ISNUMBER(SEARCH("90G",B130)),ISNUMBER(SEARCH("Gold",B130)),ISNUMBER(SEARCH("Citron",B130)),ISNUMBER(SEARCH("Rose",B130)),ISNUMBER(SEARCH("Lessive",B130))),NOT(OR(ISNUMBER(SEARCH("Vaisselle",B130)),ISNUMBER(SEARCH("Javel",B130)),ISNUMBER(SEARCH("Matic",B130)),ISNUMBER(SEARCH("Nettoyant",B130)),ISNUMBER(SEARCH("Pâte",B130)),ISNUMBER(SEARCH("Lave",B130)),ISNUMBER(SEARCH("Détartrant",B130))))),"Mio main (1k+500gr)",IF(AND(ISNUMBER(SEARCH("PAPILLON",B130)),OR(ISNUMBER(SEARCH("Papier",B130)),ISNUMBER(SEARCH("Hygiénique",B130)),ISNUMBER(SEARCH("HYGIÉNIQUE",B130))),NOT(OR(ISNUMBER(SEARCH("Lingette",B130)),ISNUMBER(SEARCH("Mouchoir",B130))))),"Papillon Papier",IF(OR(ISNUMBER(SEARCH("TAJ AL SAHAR",B130)),ISNUMBER(SEARCH("TAJ BLADI",B130)),ISNUMBER(SEARCH("TAJ BELADI",B130)),ISNUMBER(SEARCH("Tilal Assahra",B130)),ISNUMBER(SEARCH("Jawharat Asahra",B130))),"TAJ SAHARA",IF(AND(OR(ISNUMBER(SEARCH("AL ITKANE",B130)),ISNUMBER(SEARCH("ALITKANE",B130)),ISNUMBER(SEARCH("PRESTO",B130))),NOT(OR(ISNUMBER(SEARCH("Thé",B130)),ISNUMBER(SEARCH("THE ",B130)),ISNUMBER(SEARCH("thé",B130)),ISNUMBER(SEARCH("SELHAM",B130)),ISNUMBER(SEARCH("LHAFLA",B130)),ISNUMBER(SEARCH("ZINE",B130)),ISNUMBER(SEARCH("tiyay",B130)),ISNUMBER(SEARCH("alouns",B130)),ISNUMBER(SEARCH("lmhrat",B130))))),"Al Itkrans + Presto",IF(OR(ISNUMBER(SEARCH("DALAA",B130)),ISNUMBER(SEARCH("CS-DALAA",B130)),ISNUMBER(SEARCH("DALINA",B130))),"Dalaa VP / Baqqal / RP",IF(OR(LEFT(UPPER(B130),4)="MIA ",LEFT(UPPER(B130),6)="CS-MIA"),"Mia",IF(OR(LEFT(UPPER(B130),5)="NOVA ",LEFT(UPPER(B130),7)="CS-NOVA"),"Nova",IF(OR(ISNUMBER(SEARCH("PRIMA ",B130)),ISNUMBER(SEARCH("CS-PRIMA",B130))),"Prima",IF(OR(ISNUMBER(SEARCH("Douceur",B130)),ISNUMBER(SEARCH("DOUCEUR",B130))),"Douceur",IF(OR(ISNUMBER(SEARCH("SANGO",B130)),ISNUMBER(SEARCH("CS-SANGO",B130))),"SANGO",IF(ISNUMBER(SEARCH("BLANDOUX",B130)),"Blandoux",IF(ISNUMBER(SEARCH("SHIWAMI",B130)),"Shiwame",IF(ISNUMBER(SEARCH("KELLOGG",B130)),"Kelloggs",IF(OR(ISNUMBER(SEARCH("TOBIGO",B130)),ISNUMBER(SEARCH("DWIST",B130))),"Tobigo",IF(OR(ISNUMBER(SEARCH("MARISOL",B130)),ISNUMBER(SEARCH("MARESOL",B130))),"Maresol",IF(OR(ISNUMBER(SEARCH("TAKIS",B130)),ISNUMBER(SEARCH("TAKYS",B130))),"TAKYS",IF(ISNUMBER(SEARCH("TAWIL",B130)),"Tawil",IF(ISNUMBER(SEARCH("FROMY",B130)),"Fromy",""))))))))))))))))))))))))</f>
        <v>Tawil</v>
      </c>
    </row>
    <row r="131" spans="1:3" ht="18" hidden="1" customHeight="1" x14ac:dyDescent="0.3">
      <c r="A131" s="2" t="str">
        <f>[1]Products!A3886</f>
        <v>ART03660</v>
      </c>
      <c r="B131" s="2" t="str">
        <f>[1]Products!B3886</f>
        <v>TAWIL Liquide Vaisselle 1250ml Coco</v>
      </c>
      <c r="C131" s="2" t="str">
        <f t="shared" si="2"/>
        <v>Tawil</v>
      </c>
    </row>
    <row r="132" spans="1:3" ht="18" hidden="1" customHeight="1" x14ac:dyDescent="0.3">
      <c r="A132" s="2" t="str">
        <f>[1]Products!A3887</f>
        <v>ART03662</v>
      </c>
      <c r="B132" s="2" t="str">
        <f>[1]Products!B3887</f>
        <v>TAWIL Nettoyant Sol 1L Lavande</v>
      </c>
      <c r="C132" s="2" t="str">
        <f t="shared" si="2"/>
        <v>Tawil</v>
      </c>
    </row>
    <row r="133" spans="1:3" ht="18" hidden="1" customHeight="1" x14ac:dyDescent="0.3">
      <c r="A133" s="2" t="str">
        <f>[1]Products!A3888</f>
        <v>ART03664</v>
      </c>
      <c r="B133" s="2" t="str">
        <f>[1]Products!B3888</f>
        <v>TAWIL Nettoyant Sol 1L Rose</v>
      </c>
      <c r="C133" s="2" t="str">
        <f t="shared" si="2"/>
        <v>Tawil</v>
      </c>
    </row>
    <row r="134" spans="1:3" ht="18" hidden="1" customHeight="1" x14ac:dyDescent="0.3">
      <c r="A134" s="2" t="str">
        <f>[1]Products!A3889</f>
        <v>ART03665</v>
      </c>
      <c r="B134" s="2" t="str">
        <f>[1]Products!B3889</f>
        <v>TAWIL Nettoyant Sol 1L Oud</v>
      </c>
      <c r="C134" s="2" t="str">
        <f t="shared" si="2"/>
        <v>Tawil</v>
      </c>
    </row>
    <row r="135" spans="1:3" ht="18" hidden="1" customHeight="1" x14ac:dyDescent="0.3">
      <c r="A135" s="2" t="str">
        <f>[1]Products!A3890</f>
        <v>ART03666</v>
      </c>
      <c r="B135" s="2" t="str">
        <f>[1]Products!B3890</f>
        <v>TAWIL Nettoyant Sol 5L Lavande</v>
      </c>
      <c r="C135" s="2" t="str">
        <f t="shared" si="2"/>
        <v>Tawil</v>
      </c>
    </row>
    <row r="136" spans="1:3" ht="18" hidden="1" customHeight="1" x14ac:dyDescent="0.3">
      <c r="A136" s="2" t="str">
        <f>[1]Products!A3891</f>
        <v>ART03667</v>
      </c>
      <c r="B136" s="2" t="str">
        <f>[1]Products!B3891</f>
        <v>TAWIL Nettoyant Sol 5L Citron</v>
      </c>
      <c r="C136" s="2" t="str">
        <f t="shared" si="2"/>
        <v>Tawil</v>
      </c>
    </row>
    <row r="137" spans="1:3" ht="18" hidden="1" customHeight="1" x14ac:dyDescent="0.3">
      <c r="A137" s="2" t="str">
        <f>[1]Products!A3892</f>
        <v>ART03669</v>
      </c>
      <c r="B137" s="2" t="str">
        <f>[1]Products!B3892</f>
        <v>TAWIL Nettoyant Vitre 750ml</v>
      </c>
      <c r="C137" s="2" t="str">
        <f t="shared" si="2"/>
        <v>Tawil</v>
      </c>
    </row>
    <row r="138" spans="1:3" ht="18" hidden="1" customHeight="1" x14ac:dyDescent="0.3">
      <c r="A138" s="2" t="str">
        <f>[1]Products!A3893</f>
        <v>ART03671</v>
      </c>
      <c r="B138" s="2" t="str">
        <f>[1]Products!B3893</f>
        <v>TAWIL Décapant Carrelage 1.25 L</v>
      </c>
      <c r="C138" s="2" t="str">
        <f t="shared" si="2"/>
        <v>Tawil</v>
      </c>
    </row>
    <row r="139" spans="1:3" ht="18" hidden="1" customHeight="1" x14ac:dyDescent="0.3">
      <c r="A139" s="2" t="str">
        <f>[1]Products!A3894</f>
        <v>ART03672</v>
      </c>
      <c r="B139" s="2" t="str">
        <f>[1]Products!B3894</f>
        <v>TAWIL Désodorisant Flora 250ml</v>
      </c>
      <c r="C139" s="2" t="str">
        <f t="shared" si="2"/>
        <v>Tawil</v>
      </c>
    </row>
    <row r="140" spans="1:3" ht="18" hidden="1" customHeight="1" x14ac:dyDescent="0.3">
      <c r="A140" s="2" t="str">
        <f>[1]Products!A3895</f>
        <v>ART03674</v>
      </c>
      <c r="B140" s="2" t="str">
        <f>[1]Products!B3895</f>
        <v>TAWIL Matic Lessive Liquide au Savon de Marseille 3L</v>
      </c>
      <c r="C140" s="2" t="str">
        <f t="shared" si="2"/>
        <v>Tawil</v>
      </c>
    </row>
    <row r="141" spans="1:3" ht="18" hidden="1" customHeight="1" x14ac:dyDescent="0.3">
      <c r="A141" s="2" t="str">
        <f>[1]Products!A3896</f>
        <v>ART03676</v>
      </c>
      <c r="B141" s="2" t="str">
        <f>[1]Products!B3896</f>
        <v>TAWIL Matic Lessive Liquide au Savon de Marseille 5L</v>
      </c>
      <c r="C141" s="2" t="str">
        <f t="shared" si="2"/>
        <v>Tawil</v>
      </c>
    </row>
    <row r="142" spans="1:3" ht="18" hidden="1" customHeight="1" x14ac:dyDescent="0.3">
      <c r="A142" s="2" t="str">
        <f>[1]Products!A3368</f>
        <v>ART03703</v>
      </c>
      <c r="B142" s="2" t="str">
        <f>[1]Products!B3368</f>
        <v>TAKIS Chips Queso Volcano 90g</v>
      </c>
      <c r="C142" s="2" t="str">
        <f t="shared" si="2"/>
        <v>TAKYS</v>
      </c>
    </row>
    <row r="143" spans="1:3" ht="18" hidden="1" customHeight="1" x14ac:dyDescent="0.3">
      <c r="A143" s="2" t="str">
        <f>[1]Products!A3462</f>
        <v>ART03704</v>
      </c>
      <c r="B143" s="2" t="str">
        <f>[1]Products!B3462</f>
        <v>TAKIS Chips Fuego 90g</v>
      </c>
      <c r="C143" s="2" t="str">
        <f t="shared" si="2"/>
        <v>TAKYS</v>
      </c>
    </row>
    <row r="144" spans="1:3" ht="18" hidden="1" customHeight="1" x14ac:dyDescent="0.3">
      <c r="A144" s="2" t="str">
        <f>[1]Products!A3998</f>
        <v>ART03705</v>
      </c>
      <c r="B144" s="2" t="str">
        <f>[1]Products!B3998</f>
        <v>TAKIS Chips Dragon Sweet Chili 90g</v>
      </c>
      <c r="C144" s="2" t="str">
        <f t="shared" si="2"/>
        <v>TAKYS</v>
      </c>
    </row>
    <row r="145" spans="1:3" ht="18" hidden="1" customHeight="1" x14ac:dyDescent="0.3">
      <c r="A145" s="2" t="str">
        <f>[1]Products!A3999</f>
        <v>ART03706</v>
      </c>
      <c r="B145" s="2" t="str">
        <f>[1]Products!B3999</f>
        <v>TAKIS Chips Intense Nacho Fromage 90g</v>
      </c>
      <c r="C145" s="2" t="str">
        <f t="shared" si="2"/>
        <v>TAKYS</v>
      </c>
    </row>
    <row r="146" spans="1:3" ht="18" hidden="1" customHeight="1" x14ac:dyDescent="0.3">
      <c r="A146" s="2" t="str">
        <f>[1]Products!A4001</f>
        <v>ART03707</v>
      </c>
      <c r="B146" s="2" t="str">
        <f>[1]Products!B4001</f>
        <v>TAKIS Chips Blue Heat 90g</v>
      </c>
      <c r="C146" s="2" t="str">
        <f t="shared" si="2"/>
        <v>TAKYS</v>
      </c>
    </row>
    <row r="147" spans="1:3" ht="18" hidden="1" customHeight="1" x14ac:dyDescent="0.3">
      <c r="A147" s="2" t="str">
        <f>[1]Products!A4009</f>
        <v>ART03984</v>
      </c>
      <c r="B147" s="2" t="str">
        <f>[1]Products!B4009</f>
        <v>TAKIS Chips Buckin Ranch 90g</v>
      </c>
      <c r="C147" s="2" t="str">
        <f t="shared" si="2"/>
        <v>TAKYS</v>
      </c>
    </row>
    <row r="148" spans="1:3" ht="18" hidden="1" customHeight="1" x14ac:dyDescent="0.3">
      <c r="A148" s="2" t="str">
        <f>[1]Products!A94</f>
        <v>ART03709</v>
      </c>
      <c r="B148" s="2" t="str">
        <f>[1]Products!B94</f>
        <v>TAJ AL SAHARAA 100G</v>
      </c>
      <c r="C148" s="2" t="str">
        <f t="shared" si="2"/>
        <v>TAJ SAHARA</v>
      </c>
    </row>
    <row r="149" spans="1:3" ht="18" hidden="1" customHeight="1" x14ac:dyDescent="0.3">
      <c r="A149" s="2" t="str">
        <f>[1]Products!A100</f>
        <v>ART03711</v>
      </c>
      <c r="B149" s="2" t="str">
        <f>[1]Products!B100</f>
        <v>TAJ AL SAHARAA 500G</v>
      </c>
      <c r="C149" s="2" t="str">
        <f t="shared" si="2"/>
        <v>TAJ SAHARA</v>
      </c>
    </row>
    <row r="150" spans="1:3" ht="18" hidden="1" customHeight="1" x14ac:dyDescent="0.3">
      <c r="A150" s="2" t="str">
        <f>[1]Products!A1418</f>
        <v>ART03710</v>
      </c>
      <c r="B150" s="2" t="str">
        <f>[1]Products!B1418</f>
        <v>TAJ AL SAHARAA 200G</v>
      </c>
      <c r="C150" s="2" t="str">
        <f t="shared" si="2"/>
        <v>TAJ SAHARA</v>
      </c>
    </row>
    <row r="151" spans="1:3" ht="18" hidden="1" customHeight="1" x14ac:dyDescent="0.3">
      <c r="A151" s="2" t="str">
        <f>[1]Products!A2310</f>
        <v>ART01192</v>
      </c>
      <c r="B151" s="2" t="str">
        <f>[1]Products!B2310</f>
        <v>SHIWAMIE Nouilles Instantanée Légumes 70G</v>
      </c>
      <c r="C151" s="2" t="str">
        <f t="shared" si="2"/>
        <v>Shiwame</v>
      </c>
    </row>
    <row r="152" spans="1:3" ht="18" hidden="1" customHeight="1" x14ac:dyDescent="0.3">
      <c r="A152" s="2" t="str">
        <f>[1]Products!A2311</f>
        <v>ART01193</v>
      </c>
      <c r="B152" s="2" t="str">
        <f>[1]Products!B2311</f>
        <v>SHIWAMIE Nouilles Instantanée Crevettes 70G</v>
      </c>
      <c r="C152" s="2" t="str">
        <f t="shared" si="2"/>
        <v>Shiwame</v>
      </c>
    </row>
    <row r="153" spans="1:3" ht="18" hidden="1" customHeight="1" x14ac:dyDescent="0.3">
      <c r="A153" s="2" t="str">
        <f>[1]Products!A2312</f>
        <v>ART01194</v>
      </c>
      <c r="B153" s="2" t="str">
        <f>[1]Products!B2312</f>
        <v>SHIWAMIE Nouilles Instantanée Poulet 70G</v>
      </c>
      <c r="C153" s="2" t="str">
        <f t="shared" si="2"/>
        <v>Shiwame</v>
      </c>
    </row>
    <row r="154" spans="1:3" ht="18" hidden="1" customHeight="1" x14ac:dyDescent="0.3">
      <c r="A154" s="2" t="str">
        <f>[1]Products!A2313</f>
        <v>ART01195</v>
      </c>
      <c r="B154" s="2" t="str">
        <f>[1]Products!B2313</f>
        <v>SHIWAMIE Nouilles Instantanée Bœuf 70G</v>
      </c>
      <c r="C154" s="2" t="str">
        <f t="shared" si="2"/>
        <v>Shiwame</v>
      </c>
    </row>
    <row r="155" spans="1:3" ht="18" hidden="1" customHeight="1" x14ac:dyDescent="0.3">
      <c r="A155" s="2" t="str">
        <f>[1]Products!A4052</f>
        <v>CF33352</v>
      </c>
      <c r="B155" s="2" t="str">
        <f>[1]Products!B4052</f>
        <v>SHIWAMIE CREVETTE 48*70G</v>
      </c>
      <c r="C155" s="2" t="str">
        <f t="shared" si="2"/>
        <v>Shiwame</v>
      </c>
    </row>
    <row r="156" spans="1:3" ht="18" hidden="1" customHeight="1" x14ac:dyDescent="0.3">
      <c r="A156" s="2" t="str">
        <f>[1]Products!A4053</f>
        <v>CF33353</v>
      </c>
      <c r="B156" s="2" t="str">
        <f>[1]Products!B4053</f>
        <v>SHIWAMIE POULET 48*70G</v>
      </c>
      <c r="C156" s="2" t="str">
        <f t="shared" si="2"/>
        <v>Shiwame</v>
      </c>
    </row>
    <row r="157" spans="1:3" ht="18" hidden="1" customHeight="1" x14ac:dyDescent="0.3">
      <c r="A157" s="2" t="str">
        <f>[1]Products!A4054</f>
        <v>CF33354</v>
      </c>
      <c r="B157" s="2" t="str">
        <f>[1]Products!B4054</f>
        <v>SHIWAMIE LEGUMES 48*70G</v>
      </c>
      <c r="C157" s="2" t="str">
        <f t="shared" si="2"/>
        <v>Shiwame</v>
      </c>
    </row>
    <row r="158" spans="1:3" ht="18" hidden="1" customHeight="1" x14ac:dyDescent="0.3">
      <c r="A158" s="2" t="str">
        <f>[1]Products!A4055</f>
        <v>CF33355</v>
      </c>
      <c r="B158" s="2" t="str">
        <f>[1]Products!B4055</f>
        <v>SHIWAMIE BOEUF 48*70G</v>
      </c>
      <c r="C158" s="2" t="str">
        <f t="shared" si="2"/>
        <v>Shiwame</v>
      </c>
    </row>
    <row r="159" spans="1:3" ht="18" hidden="1" customHeight="1" x14ac:dyDescent="0.3">
      <c r="A159" s="2" t="str">
        <f>[1]Products!A2499</f>
        <v>ART01389</v>
      </c>
      <c r="B159" s="2" t="str">
        <f>[1]Products!B2499</f>
        <v>SANGO Nettoyant Sol 1L Fresh Rose</v>
      </c>
      <c r="C159" s="2" t="str">
        <f t="shared" si="2"/>
        <v>SANGO</v>
      </c>
    </row>
    <row r="160" spans="1:3" ht="18" hidden="1" customHeight="1" x14ac:dyDescent="0.3">
      <c r="A160" s="2" t="str">
        <f>[1]Products!A2500</f>
        <v>ART01390</v>
      </c>
      <c r="B160" s="2" t="str">
        <f>[1]Products!B2500</f>
        <v>SANGO Nettoyant Sol 1L Fleur d'Oranger</v>
      </c>
      <c r="C160" s="2" t="str">
        <f t="shared" si="2"/>
        <v>SANGO</v>
      </c>
    </row>
    <row r="161" spans="1:3" ht="18" hidden="1" customHeight="1" x14ac:dyDescent="0.3">
      <c r="A161" s="2" t="str">
        <f>[1]Products!A2501</f>
        <v>ART01391</v>
      </c>
      <c r="B161" s="2" t="str">
        <f>[1]Products!B2501</f>
        <v>SANGO Nettoyant Sol 1L Citron</v>
      </c>
      <c r="C161" s="2" t="str">
        <f t="shared" si="2"/>
        <v>SANGO</v>
      </c>
    </row>
    <row r="162" spans="1:3" ht="18" hidden="1" customHeight="1" x14ac:dyDescent="0.3">
      <c r="A162" s="2" t="str">
        <f>[1]Products!A2502</f>
        <v>ART01392</v>
      </c>
      <c r="B162" s="2" t="str">
        <f>[1]Products!B2502</f>
        <v>SANGO Nettoyant Sol 1L Lavande</v>
      </c>
      <c r="C162" s="2" t="str">
        <f t="shared" si="2"/>
        <v>SANGO</v>
      </c>
    </row>
    <row r="163" spans="1:3" ht="18" hidden="1" customHeight="1" x14ac:dyDescent="0.3">
      <c r="A163" s="2" t="str">
        <f>[1]Products!A2758</f>
        <v>ART02965</v>
      </c>
      <c r="B163" s="2" t="str">
        <f>[1]Products!B2758</f>
        <v>CS-SANGO Nettoyant Sol 1L Citron</v>
      </c>
      <c r="C163" s="2" t="str">
        <f t="shared" si="2"/>
        <v>SANGO</v>
      </c>
    </row>
    <row r="164" spans="1:3" ht="18" hidden="1" customHeight="1" x14ac:dyDescent="0.3">
      <c r="A164" s="2" t="str">
        <f>[1]Products!A2782</f>
        <v>ART02966</v>
      </c>
      <c r="B164" s="2" t="str">
        <f>[1]Products!B2782</f>
        <v>CS-SANGO Nettoyant Sol 1L Fleur d'Oranger</v>
      </c>
      <c r="C164" s="2" t="str">
        <f t="shared" si="2"/>
        <v>SANGO</v>
      </c>
    </row>
    <row r="165" spans="1:3" ht="18" hidden="1" customHeight="1" x14ac:dyDescent="0.3">
      <c r="A165" s="2" t="str">
        <f>[1]Products!A2783</f>
        <v>ART02967</v>
      </c>
      <c r="B165" s="2" t="str">
        <f>[1]Products!B2783</f>
        <v>CS-SANGO Nettoyant Sol 1L Lavande</v>
      </c>
      <c r="C165" s="2" t="str">
        <f t="shared" si="2"/>
        <v>SANGO</v>
      </c>
    </row>
    <row r="166" spans="1:3" ht="18" hidden="1" customHeight="1" x14ac:dyDescent="0.3">
      <c r="A166" s="2" t="str">
        <f>[1]Products!A2784</f>
        <v>ART02968</v>
      </c>
      <c r="B166" s="2" t="str">
        <f>[1]Products!B2784</f>
        <v>CS-SANGO Nettoyant Sol 1L Rose</v>
      </c>
      <c r="C166" s="2" t="str">
        <f t="shared" si="2"/>
        <v>SANGO</v>
      </c>
    </row>
    <row r="167" spans="1:3" ht="18" hidden="1" customHeight="1" x14ac:dyDescent="0.3">
      <c r="A167" s="2" t="str">
        <f>[1]Products!A2785</f>
        <v>ART02969</v>
      </c>
      <c r="B167" s="2" t="str">
        <f>[1]Products!B2785</f>
        <v>CS-Sango Nettoyant sol Oud 1L</v>
      </c>
      <c r="C167" s="2" t="str">
        <f t="shared" si="2"/>
        <v>SANGO</v>
      </c>
    </row>
    <row r="168" spans="1:3" ht="18" hidden="1" customHeight="1" x14ac:dyDescent="0.3">
      <c r="A168" s="2" t="str">
        <f>[1]Products!A2786</f>
        <v>ART02970</v>
      </c>
      <c r="B168" s="2" t="str">
        <f>[1]Products!B2786</f>
        <v>CS-Sango Nettoyant sol Ocean 1L</v>
      </c>
      <c r="C168" s="2" t="str">
        <f t="shared" si="2"/>
        <v>SANGO</v>
      </c>
    </row>
    <row r="169" spans="1:3" ht="18" hidden="1" customHeight="1" x14ac:dyDescent="0.3">
      <c r="A169" s="2" t="str">
        <f>[1]Products!A2787</f>
        <v>ART02971</v>
      </c>
      <c r="B169" s="2" t="str">
        <f>[1]Products!B2787</f>
        <v>CS-Sango Nettoyant sol Vanille 1L</v>
      </c>
      <c r="C169" s="2" t="str">
        <f t="shared" si="2"/>
        <v>SANGO</v>
      </c>
    </row>
    <row r="170" spans="1:3" ht="18" hidden="1" customHeight="1" x14ac:dyDescent="0.3">
      <c r="A170" s="2" t="str">
        <f>[1]Products!A3371</f>
        <v>ART03210</v>
      </c>
      <c r="B170" s="2" t="str">
        <f>[1]Products!B3371</f>
        <v>Sango Nettoyant sol Oud 1L</v>
      </c>
      <c r="C170" s="2" t="str">
        <f t="shared" si="2"/>
        <v>SANGO</v>
      </c>
    </row>
    <row r="171" spans="1:3" ht="18" hidden="1" customHeight="1" x14ac:dyDescent="0.3">
      <c r="A171" s="2" t="str">
        <f>[1]Products!A3372</f>
        <v>ART03211</v>
      </c>
      <c r="B171" s="2" t="str">
        <f>[1]Products!B3372</f>
        <v>Sango Nettoyant sol Ocean 1L</v>
      </c>
      <c r="C171" s="2" t="str">
        <f t="shared" si="2"/>
        <v>SANGO</v>
      </c>
    </row>
    <row r="172" spans="1:3" ht="18" hidden="1" customHeight="1" x14ac:dyDescent="0.3">
      <c r="A172" s="2" t="str">
        <f>[1]Products!A3373</f>
        <v>ART03212</v>
      </c>
      <c r="B172" s="2" t="str">
        <f>[1]Products!B3373</f>
        <v>Sango Nettoyant sol Vanille 1L</v>
      </c>
      <c r="C172" s="2" t="str">
        <f t="shared" si="2"/>
        <v>SANGO</v>
      </c>
    </row>
    <row r="173" spans="1:3" ht="18" hidden="1" customHeight="1" x14ac:dyDescent="0.3">
      <c r="A173" s="2" t="str">
        <f>[1]Products!A3676</f>
        <v>ART03447</v>
      </c>
      <c r="B173" s="2" t="str">
        <f>[1]Products!B3676</f>
        <v>SANGO Sachet Frech Oud 50ML</v>
      </c>
      <c r="C173" s="2" t="str">
        <f t="shared" si="2"/>
        <v>SANGO</v>
      </c>
    </row>
    <row r="174" spans="1:3" ht="18" hidden="1" customHeight="1" x14ac:dyDescent="0.3">
      <c r="A174" s="2" t="str">
        <f>[1]Products!A614</f>
        <v>ART00513</v>
      </c>
      <c r="B174" s="2" t="str">
        <f>[1]Products!B614</f>
        <v>PRIMA Couches Adultes Large 9U</v>
      </c>
      <c r="C174" s="2" t="str">
        <f t="shared" si="2"/>
        <v>Prima</v>
      </c>
    </row>
    <row r="175" spans="1:3" ht="18" hidden="1" customHeight="1" x14ac:dyDescent="0.3">
      <c r="A175" s="2" t="str">
        <f>[1]Products!A1673</f>
        <v>ART00509</v>
      </c>
      <c r="B175" s="2" t="str">
        <f>[1]Products!B1673</f>
        <v>PRIMA Couches Adultes Medium 9U</v>
      </c>
      <c r="C175" s="2" t="str">
        <f t="shared" si="2"/>
        <v>Prima</v>
      </c>
    </row>
    <row r="176" spans="1:3" ht="18" hidden="1" customHeight="1" x14ac:dyDescent="0.3">
      <c r="A176" s="2" t="str">
        <f>[1]Products!A1675</f>
        <v>ART00512</v>
      </c>
      <c r="B176" s="2" t="str">
        <f>[1]Products!B1675</f>
        <v>PRIMA Couches Adultes Large 9U</v>
      </c>
      <c r="C176" s="2" t="str">
        <f t="shared" si="2"/>
        <v>Prima</v>
      </c>
    </row>
    <row r="177" spans="1:3" ht="18" hidden="1" customHeight="1" x14ac:dyDescent="0.3">
      <c r="A177" s="2" t="str">
        <f>[1]Products!A3059</f>
        <v>ART02943</v>
      </c>
      <c r="B177" s="2" t="str">
        <f>[1]Products!B3059</f>
        <v>CS-PRIMA Couches Adultes Large 9U</v>
      </c>
      <c r="C177" s="2" t="str">
        <f t="shared" si="2"/>
        <v>Prima</v>
      </c>
    </row>
    <row r="178" spans="1:3" ht="18" hidden="1" customHeight="1" x14ac:dyDescent="0.3">
      <c r="A178" s="2" t="str">
        <f>[1]Products!A3060</f>
        <v>ART02944</v>
      </c>
      <c r="B178" s="2" t="str">
        <f>[1]Products!B3060</f>
        <v>CS-PRIMA Couches Adultes Medium 9U</v>
      </c>
      <c r="C178" s="2" t="str">
        <f t="shared" ref="C178:C224" si="3">IF(OR(ISNUMBER(SEARCH("SELHAM",B178)),ISNUMBER(SEARCH("LHAFLA",B178)),ISNUMBER(SEARCH("ZINE",B178)),ISNUMBER(SEARCH("tiyay",B178)),ISNUMBER(SEARCH("alouns",B178)),ISNUMBER(SEARCH("lmhrat",B178))),"The Al Itkane",IF(AND(ISNUMBER(SEARCH("CALIN",B178)),ISNUMBER(SEARCH("RP",B178)),NOT(ISNUMBER(SEARCH("VP",B178)))),"Calin RP",IF(AND(ISNUMBER(SEARCH("CALIN",B178)),ISNUMBER(SEARCH("VP",B178))),"Calin VP",IF(AND(ISNUMBER(SEARCH("MIO",B178)),OR(ISNUMBER(SEARCH("Vaisselle",B178)),ISNUMBER(SEARCH("vaisselle",B178)))),"Mio Liquid Vaisselle",IF(AND(ISNUMBER(SEARCH("MIO",B178)),ISNUMBER(SEARCH("Javel",B178))),"Mio Javel",IF(AND(ISNUMBER(SEARCH("MIO",B178)),ISNUMBER(SEARCH("Matic",B178))),"Mio Matic",IF(AND(ISNUMBER(SEARCH("MIO",B178)),OR(ISNUMBER(SEARCH("Détérgent",B178)),ISNUMBER(SEARCH("Poudre",B178)),ISNUMBER(SEARCH("Semi Auto",B178)),ISNUMBER(SEARCH("1KG",B178)),ISNUMBER(SEARCH("500G",B178)),ISNUMBER(SEARCH("10KG",B178)),ISNUMBER(SEARCH("1.5K",B178)),ISNUMBER(SEARCH("215G",B178)),ISNUMBER(SEARCH("350G",B178)),ISNUMBER(SEARCH("90G",B178)),ISNUMBER(SEARCH("Gold",B178)),ISNUMBER(SEARCH("Citron",B178)),ISNUMBER(SEARCH("Rose",B178)),ISNUMBER(SEARCH("Lessive",B178))),NOT(OR(ISNUMBER(SEARCH("Vaisselle",B178)),ISNUMBER(SEARCH("Javel",B178)),ISNUMBER(SEARCH("Matic",B178)),ISNUMBER(SEARCH("Nettoyant",B178)),ISNUMBER(SEARCH("Pâte",B178)),ISNUMBER(SEARCH("Lave",B178)),ISNUMBER(SEARCH("Détartrant",B178))))),"Mio main (1k+500gr)",IF(AND(ISNUMBER(SEARCH("PAPILLON",B178)),OR(ISNUMBER(SEARCH("Papier",B178)),ISNUMBER(SEARCH("Hygiénique",B178)),ISNUMBER(SEARCH("HYGIÉNIQUE",B178))),NOT(OR(ISNUMBER(SEARCH("Lingette",B178)),ISNUMBER(SEARCH("Mouchoir",B178))))),"Papillon Papier",IF(OR(ISNUMBER(SEARCH("TAJ AL SAHAR",B178)),ISNUMBER(SEARCH("TAJ BLADI",B178)),ISNUMBER(SEARCH("TAJ BELADI",B178)),ISNUMBER(SEARCH("Tilal Assahra",B178)),ISNUMBER(SEARCH("Jawharat Asahra",B178))),"TAJ SAHARA",IF(AND(OR(ISNUMBER(SEARCH("AL ITKANE",B178)),ISNUMBER(SEARCH("ALITKANE",B178)),ISNUMBER(SEARCH("PRESTO",B178))),NOT(OR(ISNUMBER(SEARCH("Thé",B178)),ISNUMBER(SEARCH("THE ",B178)),ISNUMBER(SEARCH("thé",B178)),ISNUMBER(SEARCH("SELHAM",B178)),ISNUMBER(SEARCH("LHAFLA",B178)),ISNUMBER(SEARCH("ZINE",B178)),ISNUMBER(SEARCH("tiyay",B178)),ISNUMBER(SEARCH("alouns",B178)),ISNUMBER(SEARCH("lmhrat",B178))))),"Al Itkrans + Presto",IF(OR(ISNUMBER(SEARCH("DALAA",B178)),ISNUMBER(SEARCH("CS-DALAA",B178)),ISNUMBER(SEARCH("DALINA",B178))),"Dalaa VP / Baqqal / RP",IF(OR(LEFT(UPPER(B178),4)="MIA ",LEFT(UPPER(B178),6)="CS-MIA"),"Mia",IF(OR(LEFT(UPPER(B178),5)="NOVA ",LEFT(UPPER(B178),7)="CS-NOVA"),"Nova",IF(OR(ISNUMBER(SEARCH("PRIMA ",B178)),ISNUMBER(SEARCH("CS-PRIMA",B178))),"Prima",IF(OR(ISNUMBER(SEARCH("Douceur",B178)),ISNUMBER(SEARCH("DOUCEUR",B178))),"Douceur",IF(OR(ISNUMBER(SEARCH("SANGO",B178)),ISNUMBER(SEARCH("CS-SANGO",B178))),"SANGO",IF(ISNUMBER(SEARCH("BLANDOUX",B178)),"Blandoux",IF(ISNUMBER(SEARCH("SHIWAMI",B178)),"Shiwame",IF(ISNUMBER(SEARCH("KELLOGG",B178)),"Kelloggs",IF(OR(ISNUMBER(SEARCH("TOBIGO",B178)),ISNUMBER(SEARCH("DWIST",B178))),"Tobigo",IF(OR(ISNUMBER(SEARCH("MARISOL",B178)),ISNUMBER(SEARCH("MARESOL",B178))),"Maresol",IF(OR(ISNUMBER(SEARCH("TAKIS",B178)),ISNUMBER(SEARCH("TAKYS",B178))),"TAKYS",IF(ISNUMBER(SEARCH("TAWIL",B178)),"Tawil",IF(ISNUMBER(SEARCH("FROMY",B178)),"Fromy",""))))))))))))))))))))))))</f>
        <v>Prima</v>
      </c>
    </row>
    <row r="179" spans="1:3" ht="18" hidden="1" customHeight="1" x14ac:dyDescent="0.3">
      <c r="A179" s="2" t="str">
        <f>[1]Products!A3465</f>
        <v>ART03998</v>
      </c>
      <c r="B179" s="2" t="str">
        <f>[1]Products!B3465</f>
        <v>PRIMA Couches Adultes Culottes Large 9U</v>
      </c>
      <c r="C179" s="2" t="str">
        <f t="shared" si="3"/>
        <v>Prima</v>
      </c>
    </row>
    <row r="180" spans="1:3" ht="18" hidden="1" customHeight="1" x14ac:dyDescent="0.3">
      <c r="A180" s="2" t="str">
        <f>[1]Products!A3475</f>
        <v>ART03999</v>
      </c>
      <c r="B180" s="2" t="str">
        <f>[1]Products!B3475</f>
        <v>PRIMA Couches Adultes Culottes Medium 9U</v>
      </c>
      <c r="C180" s="2" t="str">
        <f t="shared" si="3"/>
        <v>Prima</v>
      </c>
    </row>
    <row r="181" spans="1:3" ht="18" hidden="1" customHeight="1" x14ac:dyDescent="0.3">
      <c r="A181" s="2" t="str">
        <f>[1]Products!A1028</f>
        <v>ART03315</v>
      </c>
      <c r="B181" s="2" t="str">
        <f>[1]Products!B1028</f>
        <v>PAPILLON Papier HYGIÉNIQUE 2PLIS</v>
      </c>
      <c r="C181" s="2" t="str">
        <f t="shared" si="3"/>
        <v>Papillon Papier</v>
      </c>
    </row>
    <row r="182" spans="1:3" ht="18" hidden="1" customHeight="1" x14ac:dyDescent="0.3">
      <c r="A182" s="2" t="str">
        <f>[1]Products!A3803</f>
        <v>ART03498</v>
      </c>
      <c r="B182" s="2" t="str">
        <f>[1]Products!B3803</f>
        <v>PAPILLON Papier Hygiénique 12 Rouleaux</v>
      </c>
      <c r="C182" s="2" t="str">
        <f t="shared" si="3"/>
        <v>Papillon Papier</v>
      </c>
    </row>
    <row r="183" spans="1:3" ht="18" hidden="1" customHeight="1" x14ac:dyDescent="0.3">
      <c r="A183" s="2" t="str">
        <f>[1]Products!A3804</f>
        <v>ART03499</v>
      </c>
      <c r="B183" s="2" t="str">
        <f>[1]Products!B3804</f>
        <v>PAPILLON Papier Hygiénique 4 Rouleaux</v>
      </c>
      <c r="C183" s="2" t="str">
        <f t="shared" si="3"/>
        <v>Papillon Papier</v>
      </c>
    </row>
    <row r="184" spans="1:3" ht="18" hidden="1" customHeight="1" x14ac:dyDescent="0.3">
      <c r="A184" s="2" t="str">
        <f>[1]Products!A3805</f>
        <v>ART03500</v>
      </c>
      <c r="B184" s="2" t="str">
        <f>[1]Products!B3805</f>
        <v>PAPILLON Papier Hygiénique 4 Rlx - Pack de 16</v>
      </c>
      <c r="C184" s="2" t="str">
        <f t="shared" si="3"/>
        <v>Papillon Papier</v>
      </c>
    </row>
    <row r="185" spans="1:3" ht="18" hidden="1" customHeight="1" x14ac:dyDescent="0.3">
      <c r="A185" s="2" t="str">
        <f>[1]Products!A289</f>
        <v>ART01381</v>
      </c>
      <c r="B185" s="2" t="str">
        <f>[1]Products!B289</f>
        <v>NOVA Couches Adultes Medium 10U</v>
      </c>
      <c r="C185" s="2" t="str">
        <f t="shared" si="3"/>
        <v>Nova</v>
      </c>
    </row>
    <row r="186" spans="1:3" ht="18" hidden="1" customHeight="1" x14ac:dyDescent="0.3">
      <c r="A186" s="2" t="str">
        <f>[1]Products!A648</f>
        <v>ART00014</v>
      </c>
      <c r="B186" s="2" t="str">
        <f>[1]Products!B648</f>
        <v>NOVA Large 9U</v>
      </c>
      <c r="C186" s="2" t="str">
        <f t="shared" si="3"/>
        <v>Nova</v>
      </c>
    </row>
    <row r="187" spans="1:3" ht="18" hidden="1" customHeight="1" x14ac:dyDescent="0.3">
      <c r="A187" s="2" t="str">
        <f>[1]Products!A685</f>
        <v>ART01873</v>
      </c>
      <c r="B187" s="2" t="str">
        <f>[1]Products!B685</f>
        <v>NOVA Couches Adultes Large 20U</v>
      </c>
      <c r="C187" s="2" t="str">
        <f t="shared" si="3"/>
        <v>Nova</v>
      </c>
    </row>
    <row r="188" spans="1:3" ht="18" hidden="1" customHeight="1" x14ac:dyDescent="0.3">
      <c r="A188" s="2" t="str">
        <f>[1]Products!A793</f>
        <v>ART01902</v>
      </c>
      <c r="B188" s="2" t="str">
        <f>[1]Products!B793</f>
        <v>NOVA Couches Adultes Medium 10U- Pack Mauve</v>
      </c>
      <c r="C188" s="2" t="str">
        <f t="shared" si="3"/>
        <v>Nova</v>
      </c>
    </row>
    <row r="189" spans="1:3" ht="18" hidden="1" customHeight="1" x14ac:dyDescent="0.3">
      <c r="A189" s="2" t="str">
        <f>[1]Products!A2328</f>
        <v>ART01206</v>
      </c>
      <c r="B189" s="2" t="str">
        <f>[1]Products!B2328</f>
        <v>NOVA Comfot Large 10U</v>
      </c>
      <c r="C189" s="2" t="str">
        <f t="shared" si="3"/>
        <v>Nova</v>
      </c>
    </row>
    <row r="190" spans="1:3" ht="18" hidden="1" customHeight="1" x14ac:dyDescent="0.3">
      <c r="A190" s="2" t="str">
        <f>[1]Products!A2329</f>
        <v>ART01210</v>
      </c>
      <c r="B190" s="2" t="str">
        <f>[1]Products!B2329</f>
        <v>NOVA Couche Culottes Large 9U - Pack Mauve</v>
      </c>
      <c r="C190" s="2" t="str">
        <f t="shared" si="3"/>
        <v>Nova</v>
      </c>
    </row>
    <row r="191" spans="1:3" ht="18" hidden="1" customHeight="1" x14ac:dyDescent="0.3">
      <c r="A191" s="2" t="str">
        <f>[1]Products!A2330</f>
        <v>ART01211</v>
      </c>
      <c r="B191" s="2" t="str">
        <f>[1]Products!B2330</f>
        <v>NOVA Premium Large 9U - Pack Blanc</v>
      </c>
      <c r="C191" s="2" t="str">
        <f t="shared" si="3"/>
        <v>Nova</v>
      </c>
    </row>
    <row r="192" spans="1:3" ht="18" hidden="1" customHeight="1" x14ac:dyDescent="0.3">
      <c r="A192" s="2" t="str">
        <f>[1]Products!A2573</f>
        <v>ART01453</v>
      </c>
      <c r="B192" s="2" t="str">
        <f>[1]Products!B2573</f>
        <v>NOVA Couches Adultes Medium 9U</v>
      </c>
      <c r="C192" s="2" t="str">
        <f t="shared" si="3"/>
        <v>Nova</v>
      </c>
    </row>
    <row r="193" spans="1:3" ht="18" hidden="1" customHeight="1" x14ac:dyDescent="0.3">
      <c r="A193" s="2" t="str">
        <f>[1]Products!A2778</f>
        <v>ART02942</v>
      </c>
      <c r="B193" s="2" t="str">
        <f>[1]Products!B2778</f>
        <v>CS-NOVA Couches Adultes Large 20U</v>
      </c>
      <c r="C193" s="2" t="str">
        <f t="shared" si="3"/>
        <v>Nova</v>
      </c>
    </row>
    <row r="194" spans="1:3" ht="18" hidden="1" customHeight="1" x14ac:dyDescent="0.3">
      <c r="A194" s="2" t="str">
        <f>[1]Products!A3180</f>
        <v>ART03164</v>
      </c>
      <c r="B194" s="2" t="str">
        <f>[1]Products!B3180</f>
        <v>NOVA Couche Culottes Large 9U - Pack Mauve</v>
      </c>
      <c r="C194" s="2" t="str">
        <f t="shared" si="3"/>
        <v>Nova</v>
      </c>
    </row>
    <row r="195" spans="1:3" ht="18" hidden="1" customHeight="1" x14ac:dyDescent="0.3">
      <c r="A195" s="2" t="str">
        <f>[1]Products!A3356</f>
        <v>ART03189</v>
      </c>
      <c r="B195" s="2" t="str">
        <f>[1]Products!B3356</f>
        <v>NOVA Couche Culottes Medium 10U - Pack BLEU</v>
      </c>
      <c r="C195" s="2" t="str">
        <f t="shared" si="3"/>
        <v>Nova</v>
      </c>
    </row>
    <row r="196" spans="1:3" ht="18" customHeight="1" x14ac:dyDescent="0.3">
      <c r="A196" s="2" t="str">
        <f>[1]Products!A867</f>
        <v>ART02699</v>
      </c>
      <c r="B196" s="2" t="str">
        <f>[1]Products!B867</f>
        <v>MIO Liquide Matic 3L Savon Marseille</v>
      </c>
      <c r="C196" s="2" t="str">
        <f t="shared" si="3"/>
        <v>Mio Matic</v>
      </c>
    </row>
    <row r="197" spans="1:3" ht="18" customHeight="1" x14ac:dyDescent="0.3">
      <c r="A197" s="2" t="str">
        <f>[1]Products!A1014</f>
        <v>ART02033</v>
      </c>
      <c r="B197" s="2" t="str">
        <f>[1]Products!B1014</f>
        <v>MIO Matic Floral 3L</v>
      </c>
      <c r="C197" s="2" t="str">
        <f t="shared" si="3"/>
        <v>Mio Matic</v>
      </c>
    </row>
    <row r="198" spans="1:3" ht="18" customHeight="1" x14ac:dyDescent="0.3">
      <c r="A198" s="2" t="str">
        <f>[1]Products!A1015</f>
        <v>ART02034</v>
      </c>
      <c r="B198" s="2" t="str">
        <f>[1]Products!B1015</f>
        <v>MIO Détérgent Matic Floral 5KG</v>
      </c>
      <c r="C198" s="2" t="str">
        <f t="shared" si="3"/>
        <v>Mio Matic</v>
      </c>
    </row>
    <row r="199" spans="1:3" ht="18" customHeight="1" x14ac:dyDescent="0.3">
      <c r="A199" s="2" t="str">
        <f>[1]Products!A1076</f>
        <v>ART02066</v>
      </c>
      <c r="B199" s="2" t="str">
        <f>[1]Products!B1076</f>
        <v>MIO Matic Floral 1L*12</v>
      </c>
      <c r="C199" s="2" t="str">
        <f t="shared" si="3"/>
        <v>Mio Matic</v>
      </c>
    </row>
    <row r="200" spans="1:3" ht="18" customHeight="1" x14ac:dyDescent="0.3">
      <c r="A200" s="2" t="str">
        <f>[1]Products!A1140</f>
        <v>ART02071</v>
      </c>
      <c r="B200" s="2" t="str">
        <f>[1]Products!B1140</f>
        <v>Mio Matic Floral Clean and Protect  10kg</v>
      </c>
      <c r="C200" s="2" t="str">
        <f t="shared" si="3"/>
        <v>Mio Matic</v>
      </c>
    </row>
    <row r="201" spans="1:3" ht="18" customHeight="1" x14ac:dyDescent="0.3">
      <c r="A201" s="2" t="str">
        <f>[1]Products!A2675</f>
        <v>ART02696</v>
      </c>
      <c r="B201" s="2" t="str">
        <f>[1]Products!B2675</f>
        <v>MIO  Poudre Matic  Floral 400g</v>
      </c>
      <c r="C201" s="2" t="str">
        <f t="shared" si="3"/>
        <v>Mio Matic</v>
      </c>
    </row>
    <row r="202" spans="1:3" ht="18" customHeight="1" x14ac:dyDescent="0.3">
      <c r="A202" s="2" t="str">
        <f>[1]Products!A3024</f>
        <v>ART02692</v>
      </c>
      <c r="B202" s="2" t="str">
        <f>[1]Products!B3024</f>
        <v>MIO Poudre Matic  Floral 7.5kg</v>
      </c>
      <c r="C202" s="2" t="str">
        <f t="shared" si="3"/>
        <v>Mio Matic</v>
      </c>
    </row>
    <row r="203" spans="1:3" ht="18" customHeight="1" x14ac:dyDescent="0.3">
      <c r="A203" s="2" t="str">
        <f>[1]Products!A3145</f>
        <v>ART02695</v>
      </c>
      <c r="B203" s="2" t="str">
        <f>[1]Products!B3145</f>
        <v>MIO Poudre Matic  Floral 750g+150G Gratuit</v>
      </c>
      <c r="C203" s="2" t="str">
        <f t="shared" si="3"/>
        <v>Mio Matic</v>
      </c>
    </row>
    <row r="204" spans="1:3" ht="18" customHeight="1" x14ac:dyDescent="0.3">
      <c r="A204" s="2" t="str">
        <f>[1]Products!A3204</f>
        <v>ART02694</v>
      </c>
      <c r="B204" s="2" t="str">
        <f>[1]Products!B3204</f>
        <v>MIO Poudre Matic  Floral 3Kg</v>
      </c>
      <c r="C204" s="2" t="str">
        <f t="shared" si="3"/>
        <v>Mio Matic</v>
      </c>
    </row>
    <row r="205" spans="1:3" ht="18" customHeight="1" x14ac:dyDescent="0.3">
      <c r="A205" s="2" t="str">
        <f>[1]Products!A3280</f>
        <v>ART02697</v>
      </c>
      <c r="B205" s="2" t="str">
        <f>[1]Products!B3280</f>
        <v>MIO Liquide Matic 3L Antibactérien</v>
      </c>
      <c r="C205" s="2" t="str">
        <f t="shared" si="3"/>
        <v>Mio Matic</v>
      </c>
    </row>
    <row r="206" spans="1:3" ht="18" customHeight="1" x14ac:dyDescent="0.3">
      <c r="A206" s="2" t="str">
        <f>[1]Products!A3335</f>
        <v>ART02698</v>
      </c>
      <c r="B206" s="2" t="str">
        <f>[1]Products!B3335</f>
        <v>MIO Liquide Matic 1L Antibactérien</v>
      </c>
      <c r="C206" s="2" t="str">
        <f t="shared" si="3"/>
        <v>Mio Matic</v>
      </c>
    </row>
    <row r="207" spans="1:3" ht="18" customHeight="1" x14ac:dyDescent="0.3">
      <c r="A207" s="2" t="str">
        <f>[1]Products!A3337</f>
        <v>ART02700</v>
      </c>
      <c r="B207" s="2" t="str">
        <f>[1]Products!B3337</f>
        <v>MIO Liquide Matic 1L Savon Marseille</v>
      </c>
      <c r="C207" s="2" t="str">
        <f t="shared" si="3"/>
        <v>Mio Matic</v>
      </c>
    </row>
    <row r="208" spans="1:3" ht="18" customHeight="1" x14ac:dyDescent="0.3">
      <c r="A208" s="2" t="str">
        <f>[1]Products!A3338</f>
        <v>ART02693</v>
      </c>
      <c r="B208" s="2" t="str">
        <f>[1]Products!B3338</f>
        <v>MIO Poudre Matic Floral 6kg</v>
      </c>
      <c r="C208" s="2" t="str">
        <f t="shared" si="3"/>
        <v>Mio Matic</v>
      </c>
    </row>
    <row r="209" spans="1:3" ht="18" customHeight="1" x14ac:dyDescent="0.3">
      <c r="A209" s="2" t="str">
        <f>[1]Products!A3938</f>
        <v>ART03746</v>
      </c>
      <c r="B209" s="2" t="str">
        <f>[1]Products!B3938</f>
        <v>Mio Matic Floral Rose 3L x 4</v>
      </c>
      <c r="C209" s="2" t="str">
        <f t="shared" si="3"/>
        <v>Mio Matic</v>
      </c>
    </row>
    <row r="210" spans="1:3" ht="18" hidden="1" customHeight="1" x14ac:dyDescent="0.3">
      <c r="A210" s="2" t="str">
        <f>[1]Products!A607</f>
        <v>ART00292</v>
      </c>
      <c r="B210" s="2" t="str">
        <f>[1]Products!B607</f>
        <v>MIO Détérgent Semi Auto 1KG * 10 Rose</v>
      </c>
      <c r="C210" s="2" t="str">
        <f t="shared" si="3"/>
        <v>Mio main (1k+500gr)</v>
      </c>
    </row>
    <row r="211" spans="1:3" ht="19.05" hidden="1" customHeight="1" x14ac:dyDescent="0.3">
      <c r="A211" s="2" t="str">
        <f>[1]Products!A915</f>
        <v>ART01960</v>
      </c>
      <c r="B211" s="2" t="str">
        <f>[1]Products!B915</f>
        <v>MIO Citron 1KG</v>
      </c>
      <c r="C211" s="2" t="str">
        <f t="shared" si="3"/>
        <v>Mio main (1k+500gr)</v>
      </c>
    </row>
    <row r="212" spans="1:3" ht="18" hidden="1" customHeight="1" x14ac:dyDescent="0.3">
      <c r="A212" s="2" t="str">
        <f>[1]Products!A934</f>
        <v>ART01967</v>
      </c>
      <c r="B212" s="2" t="str">
        <f>[1]Products!B934</f>
        <v>MIO Lessive En Poudre Rose 1KG</v>
      </c>
      <c r="C212" s="2" t="str">
        <f t="shared" si="3"/>
        <v>Mio main (1k+500gr)</v>
      </c>
    </row>
    <row r="213" spans="1:3" ht="18" hidden="1" customHeight="1" x14ac:dyDescent="0.3">
      <c r="A213" s="2" t="str">
        <f>[1]Products!A955</f>
        <v>ART01963</v>
      </c>
      <c r="B213" s="2" t="str">
        <f>[1]Products!B955</f>
        <v>MIO Lessive En Poudre Ultra Efficace 10KG</v>
      </c>
      <c r="C213" s="2" t="str">
        <f t="shared" si="3"/>
        <v>Mio main (1k+500gr)</v>
      </c>
    </row>
    <row r="214" spans="1:3" ht="18" hidden="1" customHeight="1" x14ac:dyDescent="0.3">
      <c r="A214" s="2" t="str">
        <f>[1]Products!A1088</f>
        <v>ART01968</v>
      </c>
      <c r="B214" s="2" t="str">
        <f>[1]Products!B1088</f>
        <v>MIO Poudre Citron 16X500G+1GRT</v>
      </c>
      <c r="C214" s="2" t="str">
        <f t="shared" si="3"/>
        <v>Mio main (1k+500gr)</v>
      </c>
    </row>
    <row r="215" spans="1:3" ht="18" hidden="1" customHeight="1" x14ac:dyDescent="0.3">
      <c r="A215" s="2" t="str">
        <f>[1]Products!A1502</f>
        <v>ART00291</v>
      </c>
      <c r="B215" s="2" t="str">
        <f>[1]Products!B1502</f>
        <v>MIO Détérgent Semi Auto 1KG * 10 Citron</v>
      </c>
      <c r="C215" s="2" t="str">
        <f t="shared" si="3"/>
        <v>Mio main (1k+500gr)</v>
      </c>
    </row>
    <row r="216" spans="1:3" ht="18" hidden="1" customHeight="1" x14ac:dyDescent="0.3">
      <c r="A216" s="2" t="str">
        <f>[1]Products!A2977</f>
        <v>ART00299</v>
      </c>
      <c r="B216" s="2" t="str">
        <f>[1]Products!B2977</f>
        <v>MIO Détérgent Semi Auto 500g*20 Citron</v>
      </c>
      <c r="C216" s="2" t="str">
        <f t="shared" si="3"/>
        <v>Mio main (1k+500gr)</v>
      </c>
    </row>
    <row r="217" spans="1:3" ht="18" hidden="1" customHeight="1" x14ac:dyDescent="0.3">
      <c r="A217" s="2" t="str">
        <f>[1]Products!A2978</f>
        <v>ART00300</v>
      </c>
      <c r="B217" s="2" t="str">
        <f>[1]Products!B2978</f>
        <v>MIO Détérgent Semi Auto 500g*20 Rose</v>
      </c>
      <c r="C217" s="2" t="str">
        <f t="shared" si="3"/>
        <v>Mio main (1k+500gr)</v>
      </c>
    </row>
    <row r="218" spans="1:3" ht="18" hidden="1" customHeight="1" x14ac:dyDescent="0.3">
      <c r="A218" s="2" t="str">
        <f>[1]Products!A2988</f>
        <v>ART01985</v>
      </c>
      <c r="B218" s="2" t="str">
        <f>[1]Products!B2988</f>
        <v>MIO Savon pate Citron 500GX24</v>
      </c>
      <c r="C218" s="2" t="str">
        <f t="shared" si="3"/>
        <v>Mio main (1k+500gr)</v>
      </c>
    </row>
    <row r="219" spans="1:3" ht="18" hidden="1" customHeight="1" x14ac:dyDescent="0.3">
      <c r="A219" s="2" t="str">
        <f>[1]Products!A3195</f>
        <v>ART01971</v>
      </c>
      <c r="B219" s="2" t="str">
        <f>[1]Products!B3195</f>
        <v>MIO Poudre Rose 16X500G+1GRT</v>
      </c>
      <c r="C219" s="2" t="str">
        <f t="shared" si="3"/>
        <v>Mio main (1k+500gr)</v>
      </c>
    </row>
    <row r="220" spans="1:3" ht="18" hidden="1" customHeight="1" x14ac:dyDescent="0.3">
      <c r="A220" s="2" t="str">
        <f>[1]Products!A3444</f>
        <v>ART03997</v>
      </c>
      <c r="B220" s="2" t="str">
        <f>[1]Products!B3444</f>
        <v>MIO Semi -auto poudre lavande 1kg</v>
      </c>
      <c r="C220" s="2" t="str">
        <f t="shared" si="3"/>
        <v>Mio main (1k+500gr)</v>
      </c>
    </row>
    <row r="221" spans="1:3" ht="18" hidden="1" customHeight="1" x14ac:dyDescent="0.3">
      <c r="A221" s="2" t="str">
        <f>[1]Products!A946</f>
        <v>ART01972</v>
      </c>
      <c r="B221" s="2" t="str">
        <f>[1]Products!B946</f>
        <v>MIO Liquide Vaisselle Citron 300G</v>
      </c>
      <c r="C221" s="2" t="str">
        <f t="shared" si="3"/>
        <v>Mio Liquid Vaisselle</v>
      </c>
    </row>
    <row r="222" spans="1:3" ht="18" hidden="1" customHeight="1" x14ac:dyDescent="0.3">
      <c r="A222" s="2" t="str">
        <f>[1]Products!A1017</f>
        <v>ART02032</v>
      </c>
      <c r="B222" s="2" t="str">
        <f>[1]Products!B1017</f>
        <v>MIO Liquide Vaisselle Citron 1250GX12</v>
      </c>
      <c r="C222" s="2" t="str">
        <f t="shared" si="3"/>
        <v>Mio Liquid Vaisselle</v>
      </c>
    </row>
    <row r="223" spans="1:3" ht="18" hidden="1" customHeight="1" x14ac:dyDescent="0.3">
      <c r="A223" s="2" t="str">
        <f>[1]Products!A1067</f>
        <v>ART02059</v>
      </c>
      <c r="B223" s="2" t="str">
        <f>[1]Products!B1067</f>
        <v>MIO Liquide Vaisselle Aloe Vera 1250G</v>
      </c>
      <c r="C223" s="2" t="str">
        <f t="shared" si="3"/>
        <v>Mio Liquid Vaisselle</v>
      </c>
    </row>
    <row r="224" spans="1:3" ht="18" hidden="1" customHeight="1" x14ac:dyDescent="0.3">
      <c r="A224" s="2" t="str">
        <f>[1]Products!A2980</f>
        <v>ART01973</v>
      </c>
      <c r="B224" s="2" t="str">
        <f>[1]Products!B2980</f>
        <v>MIO Liquide Vaisselle Lavande 300G</v>
      </c>
      <c r="C224" s="2" t="str">
        <f t="shared" si="3"/>
        <v>Mio Liquid Vaisselle</v>
      </c>
    </row>
    <row r="225" spans="1:3" ht="18" hidden="1" customHeight="1" x14ac:dyDescent="0.3">
      <c r="A225" s="2" t="str">
        <f>[1]Products!A2981</f>
        <v>ART01974</v>
      </c>
      <c r="B225" s="2" t="str">
        <f>[1]Products!B2981</f>
        <v>MIO Liquide Vaisselle Citron 750GX12</v>
      </c>
      <c r="C225" s="2" t="str">
        <f t="shared" ref="C225:C286" si="4">IF(OR(ISNUMBER(SEARCH("SELHAM",B225)),ISNUMBER(SEARCH("LHAFLA",B225)),ISNUMBER(SEARCH("ZINE",B225)),ISNUMBER(SEARCH("tiyay",B225)),ISNUMBER(SEARCH("alouns",B225)),ISNUMBER(SEARCH("lmhrat",B225))),"The Al Itkane",IF(AND(ISNUMBER(SEARCH("CALIN",B225)),ISNUMBER(SEARCH("RP",B225)),NOT(ISNUMBER(SEARCH("VP",B225)))),"Calin RP",IF(AND(ISNUMBER(SEARCH("CALIN",B225)),ISNUMBER(SEARCH("VP",B225))),"Calin VP",IF(AND(ISNUMBER(SEARCH("MIO",B225)),OR(ISNUMBER(SEARCH("Vaisselle",B225)),ISNUMBER(SEARCH("vaisselle",B225)))),"Mio Liquid Vaisselle",IF(AND(ISNUMBER(SEARCH("MIO",B225)),ISNUMBER(SEARCH("Javel",B225))),"Mio Javel",IF(AND(ISNUMBER(SEARCH("MIO",B225)),ISNUMBER(SEARCH("Matic",B225))),"Mio Matic",IF(AND(ISNUMBER(SEARCH("MIO",B225)),OR(ISNUMBER(SEARCH("Détérgent",B225)),ISNUMBER(SEARCH("Poudre",B225)),ISNUMBER(SEARCH("Semi Auto",B225)),ISNUMBER(SEARCH("1KG",B225)),ISNUMBER(SEARCH("500G",B225)),ISNUMBER(SEARCH("10KG",B225)),ISNUMBER(SEARCH("1.5K",B225)),ISNUMBER(SEARCH("215G",B225)),ISNUMBER(SEARCH("350G",B225)),ISNUMBER(SEARCH("90G",B225)),ISNUMBER(SEARCH("Gold",B225)),ISNUMBER(SEARCH("Citron",B225)),ISNUMBER(SEARCH("Rose",B225)),ISNUMBER(SEARCH("Lessive",B225))),NOT(OR(ISNUMBER(SEARCH("Vaisselle",B225)),ISNUMBER(SEARCH("Javel",B225)),ISNUMBER(SEARCH("Matic",B225)),ISNUMBER(SEARCH("Nettoyant",B225)),ISNUMBER(SEARCH("Pâte",B225)),ISNUMBER(SEARCH("Lave",B225)),ISNUMBER(SEARCH("Détartrant",B225))))),"Mio main (1k+500gr)",IF(AND(ISNUMBER(SEARCH("PAPILLON",B225)),OR(ISNUMBER(SEARCH("Papier",B225)),ISNUMBER(SEARCH("Hygiénique",B225)),ISNUMBER(SEARCH("HYGIÉNIQUE",B225))),NOT(OR(ISNUMBER(SEARCH("Lingette",B225)),ISNUMBER(SEARCH("Mouchoir",B225))))),"Papillon Papier",IF(OR(ISNUMBER(SEARCH("TAJ AL SAHAR",B225)),ISNUMBER(SEARCH("TAJ BLADI",B225)),ISNUMBER(SEARCH("TAJ BELADI",B225)),ISNUMBER(SEARCH("Tilal Assahra",B225)),ISNUMBER(SEARCH("Jawharat Asahra",B225))),"TAJ SAHARA",IF(AND(OR(ISNUMBER(SEARCH("AL ITKANE",B225)),ISNUMBER(SEARCH("ALITKANE",B225)),ISNUMBER(SEARCH("PRESTO",B225))),NOT(OR(ISNUMBER(SEARCH("Thé",B225)),ISNUMBER(SEARCH("THE ",B225)),ISNUMBER(SEARCH("thé",B225)),ISNUMBER(SEARCH("SELHAM",B225)),ISNUMBER(SEARCH("LHAFLA",B225)),ISNUMBER(SEARCH("ZINE",B225)),ISNUMBER(SEARCH("tiyay",B225)),ISNUMBER(SEARCH("alouns",B225)),ISNUMBER(SEARCH("lmhrat",B225))))),"Al Itkrans + Presto",IF(OR(ISNUMBER(SEARCH("DALAA",B225)),ISNUMBER(SEARCH("CS-DALAA",B225)),ISNUMBER(SEARCH("DALINA",B225))),"Dalaa VP / Baqqal / RP",IF(OR(LEFT(UPPER(B225),4)="MIA ",LEFT(UPPER(B225),6)="CS-MIA"),"Mia",IF(OR(LEFT(UPPER(B225),5)="NOVA ",LEFT(UPPER(B225),7)="CS-NOVA"),"Nova",IF(OR(ISNUMBER(SEARCH("PRIMA ",B225)),ISNUMBER(SEARCH("CS-PRIMA",B225))),"Prima",IF(OR(ISNUMBER(SEARCH("Douceur",B225)),ISNUMBER(SEARCH("DOUCEUR",B225))),"Douceur",IF(OR(ISNUMBER(SEARCH("SANGO",B225)),ISNUMBER(SEARCH("CS-SANGO",B225))),"SANGO",IF(ISNUMBER(SEARCH("BLANDOUX",B225)),"Blandoux",IF(ISNUMBER(SEARCH("SHIWAMI",B225)),"Shiwame",IF(ISNUMBER(SEARCH("KELLOGG",B225)),"Kelloggs",IF(OR(ISNUMBER(SEARCH("TOBIGO",B225)),ISNUMBER(SEARCH("DWIST",B225))),"Tobigo",IF(OR(ISNUMBER(SEARCH("MARISOL",B225)),ISNUMBER(SEARCH("MARESOL",B225))),"Maresol",IF(OR(ISNUMBER(SEARCH("TAKIS",B225)),ISNUMBER(SEARCH("TAKYS",B225))),"TAKYS",IF(ISNUMBER(SEARCH("TAWIL",B225)),"Tawil",IF(ISNUMBER(SEARCH("FROMY",B225)),"Fromy",""))))))))))))))))))))))))</f>
        <v>Mio Liquid Vaisselle</v>
      </c>
    </row>
    <row r="226" spans="1:3" ht="18" hidden="1" customHeight="1" x14ac:dyDescent="0.3">
      <c r="A226" s="2" t="str">
        <f>[1]Products!A2986</f>
        <v>ART01981</v>
      </c>
      <c r="B226" s="2" t="str">
        <f>[1]Products!B2986</f>
        <v>MIO Liquide Vaisselle Citron 1250GX12</v>
      </c>
      <c r="C226" s="2" t="str">
        <f t="shared" si="4"/>
        <v>Mio Liquid Vaisselle</v>
      </c>
    </row>
    <row r="227" spans="1:3" ht="18" hidden="1" customHeight="1" x14ac:dyDescent="0.3">
      <c r="A227" s="2" t="str">
        <f>[1]Products!A2987</f>
        <v>ART01982</v>
      </c>
      <c r="B227" s="2" t="str">
        <f>[1]Products!B2987</f>
        <v>MIO Liquide Vaisselle Lavande 1250GX12</v>
      </c>
      <c r="C227" s="2" t="str">
        <f t="shared" si="4"/>
        <v>Mio Liquid Vaisselle</v>
      </c>
    </row>
    <row r="228" spans="1:3" ht="18" hidden="1" customHeight="1" x14ac:dyDescent="0.3">
      <c r="A228" s="2" t="str">
        <f>[1]Products!A2997</f>
        <v>ART02027</v>
      </c>
      <c r="B228" s="2" t="str">
        <f>[1]Products!B2997</f>
        <v>MIO Liquide vaisselle 750 ml lavande</v>
      </c>
      <c r="C228" s="2" t="str">
        <f t="shared" si="4"/>
        <v>Mio Liquid Vaisselle</v>
      </c>
    </row>
    <row r="229" spans="1:3" ht="18" hidden="1" customHeight="1" x14ac:dyDescent="0.3">
      <c r="A229" s="2" t="str">
        <f>[1]Products!A3000</f>
        <v>ART02701</v>
      </c>
      <c r="B229" s="2" t="str">
        <f>[1]Products!B3000</f>
        <v>MIO Liquide Vaisselle 750g Aloe Vera</v>
      </c>
      <c r="C229" s="2" t="str">
        <f t="shared" si="4"/>
        <v>Mio Liquid Vaisselle</v>
      </c>
    </row>
    <row r="230" spans="1:3" ht="18" hidden="1" customHeight="1" x14ac:dyDescent="0.3">
      <c r="A230" s="2" t="str">
        <f>[1]Products!A3001</f>
        <v>ART02702</v>
      </c>
      <c r="B230" s="2" t="str">
        <f>[1]Products!B3001</f>
        <v>MIO Liquide Vaisselle 300g Aloe Vera</v>
      </c>
      <c r="C230" s="2" t="str">
        <f t="shared" si="4"/>
        <v>Mio Liquid Vaisselle</v>
      </c>
    </row>
    <row r="231" spans="1:3" ht="18" hidden="1" customHeight="1" x14ac:dyDescent="0.3">
      <c r="A231" s="2" t="str">
        <f>[1]Products!A3002</f>
        <v>ART02703</v>
      </c>
      <c r="B231" s="2" t="str">
        <f>[1]Products!B3002</f>
        <v>MIO Liquide Vaisselle 1250g Pomme</v>
      </c>
      <c r="C231" s="2" t="str">
        <f t="shared" si="4"/>
        <v>Mio Liquid Vaisselle</v>
      </c>
    </row>
    <row r="232" spans="1:3" ht="18" hidden="1" customHeight="1" x14ac:dyDescent="0.3">
      <c r="A232" s="2" t="str">
        <f>[1]Products!A3003</f>
        <v>ART02704</v>
      </c>
      <c r="B232" s="2" t="str">
        <f>[1]Products!B3003</f>
        <v>MIO Liquide Vaisselle 750g Pomme</v>
      </c>
      <c r="C232" s="2" t="str">
        <f t="shared" si="4"/>
        <v>Mio Liquid Vaisselle</v>
      </c>
    </row>
    <row r="233" spans="1:3" ht="18" hidden="1" customHeight="1" x14ac:dyDescent="0.3">
      <c r="A233" s="2" t="str">
        <f>[1]Products!A3004</f>
        <v>ART02705</v>
      </c>
      <c r="B233" s="2" t="str">
        <f>[1]Products!B3004</f>
        <v>MIO Liquide Vaisselle 300g Pomme</v>
      </c>
      <c r="C233" s="2" t="str">
        <f t="shared" si="4"/>
        <v>Mio Liquid Vaisselle</v>
      </c>
    </row>
    <row r="234" spans="1:3" ht="18" hidden="1" customHeight="1" x14ac:dyDescent="0.3">
      <c r="A234" s="2" t="str">
        <f>[1]Products!A3005</f>
        <v>ART02706</v>
      </c>
      <c r="B234" s="2" t="str">
        <f>[1]Products!B3005</f>
        <v>MIO Liquide Vaisselle 1250g Fraise</v>
      </c>
      <c r="C234" s="2" t="str">
        <f t="shared" si="4"/>
        <v>Mio Liquid Vaisselle</v>
      </c>
    </row>
    <row r="235" spans="1:3" ht="18" hidden="1" customHeight="1" x14ac:dyDescent="0.3">
      <c r="A235" s="2" t="str">
        <f>[1]Products!A3006</f>
        <v>ART02707</v>
      </c>
      <c r="B235" s="2" t="str">
        <f>[1]Products!B3006</f>
        <v>MIO Liquide Vaisselle 750g Fraise</v>
      </c>
      <c r="C235" s="2" t="str">
        <f t="shared" si="4"/>
        <v>Mio Liquid Vaisselle</v>
      </c>
    </row>
    <row r="236" spans="1:3" ht="18" hidden="1" customHeight="1" x14ac:dyDescent="0.3">
      <c r="A236" s="2" t="str">
        <f>[1]Products!A3007</f>
        <v>ART02708</v>
      </c>
      <c r="B236" s="2" t="str">
        <f>[1]Products!B3007</f>
        <v>MIO Liquide Vaisselle 300g Fraise</v>
      </c>
      <c r="C236" s="2" t="str">
        <f t="shared" si="4"/>
        <v>Mio Liquid Vaisselle</v>
      </c>
    </row>
    <row r="237" spans="1:3" ht="18" hidden="1" customHeight="1" x14ac:dyDescent="0.3">
      <c r="A237" s="2" t="str">
        <f>[1]Products!A944</f>
        <v>ART02710</v>
      </c>
      <c r="B237" s="2" t="str">
        <f>[1]Products!B944</f>
        <v>MIO Javel  2.5L Citron</v>
      </c>
      <c r="C237" s="2" t="str">
        <f t="shared" si="4"/>
        <v>Mio Javel</v>
      </c>
    </row>
    <row r="238" spans="1:3" ht="18" hidden="1" customHeight="1" x14ac:dyDescent="0.3">
      <c r="A238" s="2" t="str">
        <f>[1]Products!A945</f>
        <v>ART02711</v>
      </c>
      <c r="B238" s="2" t="str">
        <f>[1]Products!B945</f>
        <v>MIO Javel  5L Lavande</v>
      </c>
      <c r="C238" s="2" t="str">
        <f t="shared" si="4"/>
        <v>Mio Javel</v>
      </c>
    </row>
    <row r="239" spans="1:3" ht="18" hidden="1" customHeight="1" x14ac:dyDescent="0.3">
      <c r="A239" s="2" t="str">
        <f>[1]Products!A1012</f>
        <v>ART02712</v>
      </c>
      <c r="B239" s="2" t="str">
        <f>[1]Products!B1012</f>
        <v>MIO Javel  2.5L Lavande</v>
      </c>
      <c r="C239" s="2" t="str">
        <f t="shared" si="4"/>
        <v>Mio Javel</v>
      </c>
    </row>
    <row r="240" spans="1:3" ht="18" hidden="1" customHeight="1" x14ac:dyDescent="0.3">
      <c r="A240" s="2" t="str">
        <f>[1]Products!A2930</f>
        <v>ART02713</v>
      </c>
      <c r="B240" s="2" t="str">
        <f>[1]Products!B2930</f>
        <v>MIO Javel  5L Régulier</v>
      </c>
      <c r="C240" s="2" t="str">
        <f t="shared" si="4"/>
        <v>Mio Javel</v>
      </c>
    </row>
    <row r="241" spans="1:3" ht="18" hidden="1" customHeight="1" x14ac:dyDescent="0.3">
      <c r="A241" s="2" t="str">
        <f>[1]Products!A2931</f>
        <v>ART02714</v>
      </c>
      <c r="B241" s="2" t="str">
        <f>[1]Products!B2931</f>
        <v>MIO Javel  2.5L Régulier</v>
      </c>
      <c r="C241" s="2" t="str">
        <f t="shared" si="4"/>
        <v>Mio Javel</v>
      </c>
    </row>
    <row r="242" spans="1:3" ht="18" hidden="1" customHeight="1" x14ac:dyDescent="0.3">
      <c r="A242" s="2" t="str">
        <f>[1]Products!A2976</f>
        <v>ART00297</v>
      </c>
      <c r="B242" s="2" t="str">
        <f>[1]Products!B2976</f>
        <v>MIO Eau de Javel 1L Normal</v>
      </c>
      <c r="C242" s="2" t="str">
        <f t="shared" si="4"/>
        <v>Mio Javel</v>
      </c>
    </row>
    <row r="243" spans="1:3" ht="18" hidden="1" customHeight="1" x14ac:dyDescent="0.3">
      <c r="A243" s="2" t="str">
        <f>[1]Products!A2992</f>
        <v>ART01989</v>
      </c>
      <c r="B243" s="2" t="str">
        <f>[1]Products!B2992</f>
        <v>MIO Javel Eclat &amp; Blancheur Régulier 18X1L</v>
      </c>
      <c r="C243" s="2" t="str">
        <f t="shared" si="4"/>
        <v>Mio Javel</v>
      </c>
    </row>
    <row r="244" spans="1:3" ht="18" hidden="1" customHeight="1" x14ac:dyDescent="0.3">
      <c r="A244" s="2" t="str">
        <f>[1]Products!A2993</f>
        <v>ART01990</v>
      </c>
      <c r="B244" s="2" t="str">
        <f>[1]Products!B2993</f>
        <v>MIO Javel Eclat &amp; Blancheur Citron 18X1L</v>
      </c>
      <c r="C244" s="2" t="str">
        <f t="shared" si="4"/>
        <v>Mio Javel</v>
      </c>
    </row>
    <row r="245" spans="1:3" ht="18" hidden="1" customHeight="1" x14ac:dyDescent="0.3">
      <c r="A245" s="2" t="str">
        <f>[1]Products!A3008</f>
        <v>ART02709</v>
      </c>
      <c r="B245" s="2" t="str">
        <f>[1]Products!B3008</f>
        <v>MIO Javel  5L Citron</v>
      </c>
      <c r="C245" s="2" t="str">
        <f t="shared" si="4"/>
        <v>Mio Javel</v>
      </c>
    </row>
    <row r="246" spans="1:3" ht="18" hidden="1" customHeight="1" x14ac:dyDescent="0.3">
      <c r="A246" s="2" t="str">
        <f>[1]Products!A3009</f>
        <v>ART02715</v>
      </c>
      <c r="B246" s="2" t="str">
        <f>[1]Products!B3009</f>
        <v>MIO Javel  5L Pin</v>
      </c>
      <c r="C246" s="2" t="str">
        <f t="shared" si="4"/>
        <v>Mio Javel</v>
      </c>
    </row>
    <row r="247" spans="1:3" ht="18" hidden="1" customHeight="1" x14ac:dyDescent="0.3">
      <c r="A247" s="2" t="str">
        <f>[1]Products!A3010</f>
        <v>ART02716</v>
      </c>
      <c r="B247" s="2" t="str">
        <f>[1]Products!B3010</f>
        <v>MIO Javel  2.5L Pin</v>
      </c>
      <c r="C247" s="2" t="str">
        <f t="shared" si="4"/>
        <v>Mio Javel</v>
      </c>
    </row>
    <row r="248" spans="1:3" ht="18" hidden="1" customHeight="1" x14ac:dyDescent="0.3">
      <c r="A248" s="2" t="str">
        <f>[1]Products!A3011</f>
        <v>ART02717</v>
      </c>
      <c r="B248" s="2" t="str">
        <f>[1]Products!B3011</f>
        <v>MIO Javel 1L Pin</v>
      </c>
      <c r="C248" s="2" t="str">
        <f t="shared" si="4"/>
        <v>Mio Javel</v>
      </c>
    </row>
    <row r="249" spans="1:3" ht="18" hidden="1" customHeight="1" x14ac:dyDescent="0.3">
      <c r="A249" s="2" t="str">
        <f>[1]Products!A3025</f>
        <v>ART01991</v>
      </c>
      <c r="B249" s="2" t="str">
        <f>[1]Products!B3025</f>
        <v>MIO Javel Eclat &amp; Blancheur Lavande 18X1L</v>
      </c>
      <c r="C249" s="2" t="str">
        <f t="shared" si="4"/>
        <v>Mio Javel</v>
      </c>
    </row>
    <row r="250" spans="1:3" ht="18" hidden="1" customHeight="1" x14ac:dyDescent="0.3">
      <c r="A250" s="2" t="str">
        <f>[1]Products!A201</f>
        <v>ART00103</v>
      </c>
      <c r="B250" s="2" t="str">
        <f>[1]Products!B201</f>
        <v>MIA Maxi Nuit Bleu</v>
      </c>
      <c r="C250" s="2" t="str">
        <f t="shared" si="4"/>
        <v>Mia</v>
      </c>
    </row>
    <row r="251" spans="1:3" ht="18" hidden="1" customHeight="1" x14ac:dyDescent="0.3">
      <c r="A251" s="2" t="str">
        <f>[1]Products!A283</f>
        <v>ART00301</v>
      </c>
      <c r="B251" s="2" t="str">
        <f>[1]Products!B283</f>
        <v>MIA Maxi Long Rose 16U + 1 GRT</v>
      </c>
      <c r="C251" s="2" t="str">
        <f t="shared" si="4"/>
        <v>Mia</v>
      </c>
    </row>
    <row r="252" spans="1:3" ht="18" hidden="1" customHeight="1" x14ac:dyDescent="0.3">
      <c r="A252" s="2" t="str">
        <f>[1]Products!A362</f>
        <v>ART00134</v>
      </c>
      <c r="B252" s="2" t="str">
        <f>[1]Products!B362</f>
        <v>MIA Maxi Plus Long</v>
      </c>
      <c r="C252" s="2" t="str">
        <f t="shared" si="4"/>
        <v>Mia</v>
      </c>
    </row>
    <row r="253" spans="1:3" ht="18" hidden="1" customHeight="1" x14ac:dyDescent="0.3">
      <c r="A253" s="2" t="str">
        <f>[1]Products!A421</f>
        <v>ART00333</v>
      </c>
      <c r="B253" s="2" t="str">
        <f>[1]Products!B421</f>
        <v>MIA Maxi Normal Mauve</v>
      </c>
      <c r="C253" s="2" t="str">
        <f t="shared" si="4"/>
        <v>Mia</v>
      </c>
    </row>
    <row r="254" spans="1:3" ht="18" hidden="1" customHeight="1" x14ac:dyDescent="0.3">
      <c r="A254" s="2" t="str">
        <f>[1]Products!A479</f>
        <v>ART00186</v>
      </c>
      <c r="B254" s="2" t="str">
        <f>[1]Products!B479</f>
        <v>MIA Maxi Plus Long 16U + 1U GRT</v>
      </c>
      <c r="C254" s="2" t="str">
        <f t="shared" si="4"/>
        <v>Mia</v>
      </c>
    </row>
    <row r="255" spans="1:3" ht="18" hidden="1" customHeight="1" x14ac:dyDescent="0.3">
      <c r="A255" s="2" t="str">
        <f>[1]Products!A1137</f>
        <v>ART00013</v>
      </c>
      <c r="B255" s="2" t="str">
        <f>[1]Products!B1137</f>
        <v>MIA Maxi Long Rose</v>
      </c>
      <c r="C255" s="2" t="str">
        <f t="shared" si="4"/>
        <v>Mia</v>
      </c>
    </row>
    <row r="256" spans="1:3" ht="18" hidden="1" customHeight="1" x14ac:dyDescent="0.3">
      <c r="A256" s="2" t="str">
        <f>[1]Products!A1199</f>
        <v>ART02125</v>
      </c>
      <c r="B256" s="2" t="str">
        <f>[1]Products!B1199</f>
        <v>MIA Maxi Nuit Bleu 8*24</v>
      </c>
      <c r="C256" s="2" t="str">
        <f t="shared" si="4"/>
        <v>Mia</v>
      </c>
    </row>
    <row r="257" spans="1:3" ht="18" hidden="1" customHeight="1" x14ac:dyDescent="0.3">
      <c r="A257" s="2" t="str">
        <f>[1]Products!A1826</f>
        <v>ART00675</v>
      </c>
      <c r="B257" s="2" t="str">
        <f>[1]Products!B1826</f>
        <v>MIA Maxi Plus Normal Mauve</v>
      </c>
      <c r="C257" s="2" t="str">
        <f t="shared" si="4"/>
        <v>Mia</v>
      </c>
    </row>
    <row r="258" spans="1:3" ht="18" hidden="1" customHeight="1" x14ac:dyDescent="0.3">
      <c r="A258" s="2" t="str">
        <f>[1]Products!A2001</f>
        <v>ART00857</v>
      </c>
      <c r="B258" s="2" t="str">
        <f>[1]Products!B2001</f>
        <v>MIA Maxi Plus Long Cotton Touch</v>
      </c>
      <c r="C258" s="2" t="str">
        <f t="shared" si="4"/>
        <v>Mia</v>
      </c>
    </row>
    <row r="259" spans="1:3" ht="18" hidden="1" customHeight="1" x14ac:dyDescent="0.3">
      <c r="A259" s="2" t="str">
        <f>[1]Products!A2688</f>
        <v>ART02300</v>
      </c>
      <c r="B259" s="2" t="str">
        <f>[1]Products!B2688</f>
        <v>MIA Maxi Normal Mauve 10*24</v>
      </c>
      <c r="C259" s="2" t="str">
        <f t="shared" si="4"/>
        <v>Mia</v>
      </c>
    </row>
    <row r="260" spans="1:3" ht="18" hidden="1" customHeight="1" x14ac:dyDescent="0.3">
      <c r="A260" s="2" t="str">
        <f>[1]Products!A2689</f>
        <v>ART02140</v>
      </c>
      <c r="B260" s="2" t="str">
        <f>[1]Products!B2689</f>
        <v>Mia Maxi Long Rose 9*24</v>
      </c>
      <c r="C260" s="2" t="str">
        <f t="shared" si="4"/>
        <v>Mia</v>
      </c>
    </row>
    <row r="261" spans="1:3" ht="18" hidden="1" customHeight="1" x14ac:dyDescent="0.3">
      <c r="A261" s="2" t="str">
        <f>[1]Products!A2788</f>
        <v>ART02974</v>
      </c>
      <c r="B261" s="2" t="str">
        <f>[1]Products!B2788</f>
        <v>CS-Mia Serviette Hygiénique Maxi Normal 15U</v>
      </c>
      <c r="C261" s="2" t="str">
        <f t="shared" si="4"/>
        <v>Mia</v>
      </c>
    </row>
    <row r="262" spans="1:3" ht="18" hidden="1" customHeight="1" x14ac:dyDescent="0.3">
      <c r="A262" s="2" t="str">
        <f>[1]Products!A2835</f>
        <v>ART02973</v>
      </c>
      <c r="B262" s="2" t="str">
        <f>[1]Products!B2835</f>
        <v>CS-Mia Serviette Hygiénique Long T 14U</v>
      </c>
      <c r="C262" s="2" t="str">
        <f t="shared" si="4"/>
        <v>Mia</v>
      </c>
    </row>
    <row r="263" spans="1:3" ht="18" hidden="1" customHeight="1" x14ac:dyDescent="0.3">
      <c r="A263" s="2" t="str">
        <f>[1]Products!A3021</f>
        <v>ART03989</v>
      </c>
      <c r="B263" s="2" t="str">
        <f>[1]Products!B3021</f>
        <v>MIA Cotton Touch Serviettes Hygieniques Ultra Slim Nuit 7U</v>
      </c>
      <c r="C263" s="2" t="str">
        <f t="shared" si="4"/>
        <v>Mia</v>
      </c>
    </row>
    <row r="264" spans="1:3" ht="18" hidden="1" customHeight="1" x14ac:dyDescent="0.3">
      <c r="A264" s="2" t="str">
        <f>[1]Products!A3045</f>
        <v>ART03988</v>
      </c>
      <c r="B264" s="2" t="str">
        <f>[1]Products!B3045</f>
        <v>MIA Cotton Touch Serviettes Hygieniques Ultra Slim Long 8U</v>
      </c>
      <c r="C264" s="2" t="str">
        <f t="shared" si="4"/>
        <v>Mia</v>
      </c>
    </row>
    <row r="265" spans="1:3" ht="18" hidden="1" customHeight="1" x14ac:dyDescent="0.3">
      <c r="A265" s="2" t="str">
        <f>[1]Products!A3176</f>
        <v>ART02972</v>
      </c>
      <c r="B265" s="2" t="str">
        <f>[1]Products!B3176</f>
        <v>CS-Mia Serviette Hygiénique Maxi Nuit  12U</v>
      </c>
      <c r="C265" s="2" t="str">
        <f t="shared" si="4"/>
        <v>Mia</v>
      </c>
    </row>
    <row r="266" spans="1:3" ht="18" hidden="1" customHeight="1" x14ac:dyDescent="0.3">
      <c r="A266" s="2" t="str">
        <f>[1]Products!A3397</f>
        <v>ART03213</v>
      </c>
      <c r="B266" s="2" t="str">
        <f>[1]Products!B3397</f>
        <v>Mia Serviette Hygiénique Long Value Pack 14U</v>
      </c>
      <c r="C266" s="2" t="str">
        <f t="shared" si="4"/>
        <v>Mia</v>
      </c>
    </row>
    <row r="267" spans="1:3" ht="18" hidden="1" customHeight="1" x14ac:dyDescent="0.3">
      <c r="A267" s="2" t="str">
        <f>[1]Products!A3398</f>
        <v>ART03214</v>
      </c>
      <c r="B267" s="2" t="str">
        <f>[1]Products!B3398</f>
        <v>Mia Serviette Hygiénique Maxi Normal  Value Pack 15U</v>
      </c>
      <c r="C267" s="2" t="str">
        <f t="shared" si="4"/>
        <v>Mia</v>
      </c>
    </row>
    <row r="268" spans="1:3" ht="18" hidden="1" customHeight="1" x14ac:dyDescent="0.3">
      <c r="A268" s="2" t="str">
        <f>[1]Products!A4046</f>
        <v>ART03986</v>
      </c>
      <c r="B268" s="2" t="str">
        <f>[1]Products!B4046</f>
        <v>Mia Serviette Hygiénique Maxi Nuit  Value Pack 12U</v>
      </c>
      <c r="C268" s="2" t="str">
        <f t="shared" si="4"/>
        <v>Mia</v>
      </c>
    </row>
    <row r="269" spans="1:3" ht="18" hidden="1" customHeight="1" x14ac:dyDescent="0.3">
      <c r="A269" s="2" t="str">
        <f>[1]Products!A4074</f>
        <v>ART03987</v>
      </c>
      <c r="B269" s="2" t="str">
        <f>[1]Products!B4074</f>
        <v>MIA Cotton Touch Serviettes Hygièniques Ultra Normal 10U</v>
      </c>
      <c r="C269" s="2" t="str">
        <f t="shared" si="4"/>
        <v>Mia</v>
      </c>
    </row>
    <row r="270" spans="1:3" ht="18" hidden="1" customHeight="1" x14ac:dyDescent="0.3">
      <c r="A270" s="2" t="str">
        <f>[1]Products!A4170</f>
        <v>ART04049</v>
      </c>
      <c r="B270" s="2" t="str">
        <f>[1]Products!B4170</f>
        <v>MARISOL thon entier sauce tomate unipack 80 g</v>
      </c>
      <c r="C270" s="2" t="str">
        <f t="shared" si="4"/>
        <v>Maresol</v>
      </c>
    </row>
    <row r="271" spans="1:3" ht="18" hidden="1" customHeight="1" x14ac:dyDescent="0.3">
      <c r="A271" s="2" t="str">
        <f>[1]Products!A4171</f>
        <v>ART04050</v>
      </c>
      <c r="B271" s="2" t="str">
        <f>[1]Products!B4171</f>
        <v>MARISOL thon entier sauce tomate tripack 80 g</v>
      </c>
      <c r="C271" s="2" t="str">
        <f t="shared" si="4"/>
        <v>Maresol</v>
      </c>
    </row>
    <row r="272" spans="1:3" ht="18" hidden="1" customHeight="1" x14ac:dyDescent="0.3">
      <c r="A272" s="2" t="str">
        <f>[1]Products!A4172</f>
        <v>ART04051</v>
      </c>
      <c r="B272" s="2" t="str">
        <f>[1]Products!B4172</f>
        <v>MARISOL thon entier huile de tournesol tripack 80 g</v>
      </c>
      <c r="C272" s="2" t="str">
        <f t="shared" si="4"/>
        <v>Maresol</v>
      </c>
    </row>
    <row r="273" spans="1:3" ht="18" hidden="1" customHeight="1" x14ac:dyDescent="0.3">
      <c r="A273" s="2" t="str">
        <f>[1]Products!A4173</f>
        <v>ART04053</v>
      </c>
      <c r="B273" s="2" t="str">
        <f>[1]Products!B4173</f>
        <v>MARISOL thon entier huile de tournesol unipack 1700 g</v>
      </c>
      <c r="C273" s="2" t="str">
        <f t="shared" si="4"/>
        <v>Maresol</v>
      </c>
    </row>
    <row r="274" spans="1:3" ht="18" hidden="1" customHeight="1" x14ac:dyDescent="0.3">
      <c r="A274" s="2" t="str">
        <f>[1]Products!A4174</f>
        <v>ART04052</v>
      </c>
      <c r="B274" s="2" t="str">
        <f>[1]Products!B4174</f>
        <v>MARISOL thon entier huile de tournesol unipack 125 g</v>
      </c>
      <c r="C274" s="2" t="str">
        <f t="shared" si="4"/>
        <v>Maresol</v>
      </c>
    </row>
    <row r="275" spans="1:3" ht="18" hidden="1" customHeight="1" x14ac:dyDescent="0.3">
      <c r="A275" s="2" t="str">
        <f>[1]Products!A4175</f>
        <v>ART04054</v>
      </c>
      <c r="B275" s="2" t="str">
        <f>[1]Products!B4175</f>
        <v>MARISOL thon entier huile de tournesol unipack 400 g</v>
      </c>
      <c r="C275" s="2" t="str">
        <f t="shared" si="4"/>
        <v>Maresol</v>
      </c>
    </row>
    <row r="276" spans="1:3" ht="18" hidden="1" customHeight="1" x14ac:dyDescent="0.3">
      <c r="A276" s="2" t="str">
        <f>[1]Products!A4176</f>
        <v>ART04055</v>
      </c>
      <c r="B276" s="2" t="str">
        <f>[1]Products!B4176</f>
        <v>MARISOL thon entier huile de tournesol quadripack 80 g</v>
      </c>
      <c r="C276" s="2" t="str">
        <f t="shared" si="4"/>
        <v>Maresol</v>
      </c>
    </row>
    <row r="277" spans="1:3" ht="18" hidden="1" customHeight="1" x14ac:dyDescent="0.3">
      <c r="A277" s="2" t="str">
        <f>[1]Products!A4177</f>
        <v>ART04056</v>
      </c>
      <c r="B277" s="2" t="str">
        <f>[1]Products!B4177</f>
        <v>MARISOL thon entier sauce tomate quadripack 80 g</v>
      </c>
      <c r="C277" s="2" t="str">
        <f t="shared" si="4"/>
        <v>Maresol</v>
      </c>
    </row>
    <row r="278" spans="1:3" ht="18" hidden="1" customHeight="1" x14ac:dyDescent="0.3">
      <c r="A278" s="2" t="str">
        <f>[1]Products!A4189</f>
        <v>ART04048</v>
      </c>
      <c r="B278" s="2" t="str">
        <f>[1]Products!B4189</f>
        <v>MARISOL thon entier huile de tournesol unipack 80 g</v>
      </c>
      <c r="C278" s="2" t="str">
        <f t="shared" si="4"/>
        <v>Maresol</v>
      </c>
    </row>
    <row r="279" spans="1:3" ht="18" hidden="1" customHeight="1" x14ac:dyDescent="0.3">
      <c r="A279" s="2" t="str">
        <f>[1]Products!A3961</f>
        <v>ART03779</v>
      </c>
      <c r="B279" s="2" t="str">
        <f>[1]Products!B3961</f>
        <v>KELLOGG'S Nouilles Instantanées Saveur Poulet 70g</v>
      </c>
      <c r="C279" s="2" t="str">
        <f t="shared" si="4"/>
        <v>Kelloggs</v>
      </c>
    </row>
    <row r="280" spans="1:3" ht="18" hidden="1" customHeight="1" x14ac:dyDescent="0.3">
      <c r="A280" s="2" t="str">
        <f>[1]Products!A3975</f>
        <v>ART03780</v>
      </c>
      <c r="B280" s="2" t="str">
        <f>[1]Products!B3975</f>
        <v>KELLOGG'S Nouilles Instantanées Saveur Boeuf 70g</v>
      </c>
      <c r="C280" s="2" t="str">
        <f t="shared" si="4"/>
        <v>Kelloggs</v>
      </c>
    </row>
    <row r="281" spans="1:3" ht="18" hidden="1" customHeight="1" x14ac:dyDescent="0.3">
      <c r="A281" s="2" t="str">
        <f>[1]Products!A3976</f>
        <v>ART03781</v>
      </c>
      <c r="B281" s="2" t="str">
        <f>[1]Products!B3976</f>
        <v>KELLOGG'S Nouilles Instantanées Saveur Fromage 70g</v>
      </c>
      <c r="C281" s="2" t="str">
        <f t="shared" si="4"/>
        <v>Kelloggs</v>
      </c>
    </row>
    <row r="282" spans="1:3" ht="18" hidden="1" customHeight="1" x14ac:dyDescent="0.3">
      <c r="A282" s="2" t="str">
        <f>[1]Products!A3977</f>
        <v>ART03782</v>
      </c>
      <c r="B282" s="2" t="str">
        <f>[1]Products!B3977</f>
        <v>KELLOGG'S Nouilles Instantanées Saveur Légumes 70g</v>
      </c>
      <c r="C282" s="2" t="str">
        <f t="shared" si="4"/>
        <v>Kelloggs</v>
      </c>
    </row>
    <row r="283" spans="1:3" ht="18" hidden="1" customHeight="1" x14ac:dyDescent="0.3">
      <c r="A283" s="2" t="str">
        <f>[1]Products!A3978</f>
        <v>ART03783</v>
      </c>
      <c r="B283" s="2" t="str">
        <f>[1]Products!B3978</f>
        <v>KELLOGG'S Nouilles Instantanées Saveur Poulet au Curry 70g</v>
      </c>
      <c r="C283" s="2" t="str">
        <f t="shared" si="4"/>
        <v>Kelloggs</v>
      </c>
    </row>
    <row r="284" spans="1:3" ht="18" hidden="1" customHeight="1" x14ac:dyDescent="0.3">
      <c r="A284" s="2" t="str">
        <f>[1]Products!A3979</f>
        <v>ART03784</v>
      </c>
      <c r="B284" s="2" t="str">
        <f>[1]Products!B3979</f>
        <v>KELLOGG'S Nouilles Instantanées Saveur Saucisses Orientales 70g</v>
      </c>
      <c r="C284" s="2" t="str">
        <f t="shared" si="4"/>
        <v>Kelloggs</v>
      </c>
    </row>
    <row r="285" spans="1:3" ht="18" hidden="1" customHeight="1" x14ac:dyDescent="0.3">
      <c r="A285" s="2" t="str">
        <f>[1]Products!A3980</f>
        <v>ART03785</v>
      </c>
      <c r="B285" s="2" t="str">
        <f>[1]Products!B3980</f>
        <v>KELLOGG'S Nouilles Instantanées Spicy 100g</v>
      </c>
      <c r="C285" s="2" t="str">
        <f t="shared" si="4"/>
        <v>Kelloggs</v>
      </c>
    </row>
    <row r="286" spans="1:3" ht="18" hidden="1" customHeight="1" x14ac:dyDescent="0.3">
      <c r="A286" s="2" t="str">
        <f>[1]Products!A611</f>
        <v>ART03604</v>
      </c>
      <c r="B286" s="2" t="str">
        <f>[1]Products!B611</f>
        <v>Douceur Boite Mouchoir 2 plis MAROC 600</v>
      </c>
      <c r="C286" s="2" t="str">
        <f t="shared" si="4"/>
        <v>Douceur</v>
      </c>
    </row>
    <row r="287" spans="1:3" ht="18" hidden="1" customHeight="1" x14ac:dyDescent="0.3">
      <c r="A287" s="2" t="str">
        <f>[1]Products!A2776</f>
        <v>ART03603</v>
      </c>
      <c r="B287" s="2" t="str">
        <f>[1]Products!B2776</f>
        <v>Douceur Boite Mouchoir Flowers  2 plis 600</v>
      </c>
      <c r="C287" s="2" t="str">
        <f t="shared" ref="C287:C327" si="5">IF(OR(ISNUMBER(SEARCH("SELHAM",B287)),ISNUMBER(SEARCH("LHAFLA",B287)),ISNUMBER(SEARCH("ZINE",B287)),ISNUMBER(SEARCH("tiyay",B287)),ISNUMBER(SEARCH("alouns",B287)),ISNUMBER(SEARCH("lmhrat",B287))),"The Al Itkane",IF(AND(ISNUMBER(SEARCH("CALIN",B287)),ISNUMBER(SEARCH("RP",B287)),NOT(ISNUMBER(SEARCH("VP",B287)))),"Calin RP",IF(AND(ISNUMBER(SEARCH("CALIN",B287)),ISNUMBER(SEARCH("VP",B287))),"Calin VP",IF(AND(ISNUMBER(SEARCH("MIO",B287)),OR(ISNUMBER(SEARCH("Vaisselle",B287)),ISNUMBER(SEARCH("vaisselle",B287)))),"Mio Liquid Vaisselle",IF(AND(ISNUMBER(SEARCH("MIO",B287)),ISNUMBER(SEARCH("Javel",B287))),"Mio Javel",IF(AND(ISNUMBER(SEARCH("MIO",B287)),ISNUMBER(SEARCH("Matic",B287))),"Mio Matic",IF(AND(ISNUMBER(SEARCH("MIO",B287)),OR(ISNUMBER(SEARCH("Détérgent",B287)),ISNUMBER(SEARCH("Poudre",B287)),ISNUMBER(SEARCH("Semi Auto",B287)),ISNUMBER(SEARCH("1KG",B287)),ISNUMBER(SEARCH("500G",B287)),ISNUMBER(SEARCH("10KG",B287)),ISNUMBER(SEARCH("1.5K",B287)),ISNUMBER(SEARCH("215G",B287)),ISNUMBER(SEARCH("350G",B287)),ISNUMBER(SEARCH("90G",B287)),ISNUMBER(SEARCH("Gold",B287)),ISNUMBER(SEARCH("Citron",B287)),ISNUMBER(SEARCH("Rose",B287)),ISNUMBER(SEARCH("Lessive",B287))),NOT(OR(ISNUMBER(SEARCH("Vaisselle",B287)),ISNUMBER(SEARCH("Javel",B287)),ISNUMBER(SEARCH("Matic",B287)),ISNUMBER(SEARCH("Nettoyant",B287)),ISNUMBER(SEARCH("Pâte",B287)),ISNUMBER(SEARCH("Lave",B287)),ISNUMBER(SEARCH("Détartrant",B287))))),"Mio main (1k+500gr)",IF(AND(ISNUMBER(SEARCH("PAPILLON",B287)),OR(ISNUMBER(SEARCH("Papier",B287)),ISNUMBER(SEARCH("Hygiénique",B287)),ISNUMBER(SEARCH("HYGIÉNIQUE",B287))),NOT(OR(ISNUMBER(SEARCH("Lingette",B287)),ISNUMBER(SEARCH("Mouchoir",B287))))),"Papillon Papier",IF(OR(ISNUMBER(SEARCH("TAJ AL SAHAR",B287)),ISNUMBER(SEARCH("TAJ BLADI",B287)),ISNUMBER(SEARCH("TAJ BELADI",B287)),ISNUMBER(SEARCH("Tilal Assahra",B287)),ISNUMBER(SEARCH("Jawharat Asahra",B287))),"TAJ SAHARA",IF(AND(OR(ISNUMBER(SEARCH("AL ITKANE",B287)),ISNUMBER(SEARCH("ALITKANE",B287)),ISNUMBER(SEARCH("PRESTO",B287))),NOT(OR(ISNUMBER(SEARCH("Thé",B287)),ISNUMBER(SEARCH("THE ",B287)),ISNUMBER(SEARCH("thé",B287)),ISNUMBER(SEARCH("SELHAM",B287)),ISNUMBER(SEARCH("LHAFLA",B287)),ISNUMBER(SEARCH("ZINE",B287)),ISNUMBER(SEARCH("tiyay",B287)),ISNUMBER(SEARCH("alouns",B287)),ISNUMBER(SEARCH("lmhrat",B287))))),"Al Itkrans + Presto",IF(OR(ISNUMBER(SEARCH("DALAA",B287)),ISNUMBER(SEARCH("CS-DALAA",B287)),ISNUMBER(SEARCH("DALINA",B287))),"Dalaa VP / Baqqal / RP",IF(OR(LEFT(UPPER(B287),4)="MIA ",LEFT(UPPER(B287),6)="CS-MIA"),"Mia",IF(OR(LEFT(UPPER(B287),5)="NOVA ",LEFT(UPPER(B287),7)="CS-NOVA"),"Nova",IF(OR(ISNUMBER(SEARCH("PRIMA ",B287)),ISNUMBER(SEARCH("CS-PRIMA",B287))),"Prima",IF(OR(ISNUMBER(SEARCH("Douceur",B287)),ISNUMBER(SEARCH("DOUCEUR",B287))),"Douceur",IF(OR(ISNUMBER(SEARCH("SANGO",B287)),ISNUMBER(SEARCH("CS-SANGO",B287))),"SANGO",IF(ISNUMBER(SEARCH("BLANDOUX",B287)),"Blandoux",IF(ISNUMBER(SEARCH("SHIWAMI",B287)),"Shiwame",IF(ISNUMBER(SEARCH("KELLOGG",B287)),"Kelloggs",IF(OR(ISNUMBER(SEARCH("TOBIGO",B287)),ISNUMBER(SEARCH("DWIST",B287))),"Tobigo",IF(OR(ISNUMBER(SEARCH("MARISOL",B287)),ISNUMBER(SEARCH("MARESOL",B287))),"Maresol",IF(OR(ISNUMBER(SEARCH("TAKIS",B287)),ISNUMBER(SEARCH("TAKYS",B287))),"TAKYS",IF(ISNUMBER(SEARCH("TAWIL",B287)),"Tawil",IF(ISNUMBER(SEARCH("FROMY",B287)),"Fromy",""))))))))))))))))))))))))</f>
        <v>Douceur</v>
      </c>
    </row>
    <row r="288" spans="1:3" ht="18" hidden="1" customHeight="1" x14ac:dyDescent="0.3">
      <c r="A288" s="2" t="str">
        <f>[1]Products!A320</f>
        <v>ART01203</v>
      </c>
      <c r="B288" s="2" t="str">
        <f>[1]Products!B320</f>
        <v>DALAA Couches VP Taille 4 42U+2U GRT</v>
      </c>
      <c r="C288" s="2" t="str">
        <f t="shared" si="5"/>
        <v>Dalaa VP / Baqqal / RP</v>
      </c>
    </row>
    <row r="289" spans="1:3" ht="18" hidden="1" customHeight="1" x14ac:dyDescent="0.3">
      <c r="A289" s="2" t="str">
        <f>[1]Products!A447</f>
        <v>ART00956</v>
      </c>
      <c r="B289" s="2" t="str">
        <f>[1]Products!B447</f>
        <v>DALAA Pack Bakal Taille 5 66U</v>
      </c>
      <c r="C289" s="2" t="str">
        <f t="shared" si="5"/>
        <v>Dalaa VP / Baqqal / RP</v>
      </c>
    </row>
    <row r="290" spans="1:3" ht="18" hidden="1" customHeight="1" x14ac:dyDescent="0.3">
      <c r="A290" s="2" t="str">
        <f>[1]Products!A629</f>
        <v>ART00009</v>
      </c>
      <c r="B290" s="2" t="str">
        <f>[1]Products!B629</f>
        <v>DALAA Couches VP Taille 4</v>
      </c>
      <c r="C290" s="2" t="str">
        <f t="shared" si="5"/>
        <v>Dalaa VP / Baqqal / RP</v>
      </c>
    </row>
    <row r="291" spans="1:3" ht="18" hidden="1" customHeight="1" x14ac:dyDescent="0.3">
      <c r="A291" s="2" t="str">
        <f>[1]Products!A647</f>
        <v>ART00008</v>
      </c>
      <c r="B291" s="2" t="str">
        <f>[1]Products!B647</f>
        <v>DALAA Couches VP Taille 3</v>
      </c>
      <c r="C291" s="2" t="str">
        <f t="shared" si="5"/>
        <v>Dalaa VP / Baqqal / RP</v>
      </c>
    </row>
    <row r="292" spans="1:3" ht="18" hidden="1" customHeight="1" x14ac:dyDescent="0.3">
      <c r="A292" s="2" t="str">
        <f>[1]Products!A707</f>
        <v>ART00007</v>
      </c>
      <c r="B292" s="2" t="str">
        <f>[1]Products!B707</f>
        <v>DALAA Couches VP Taille 2</v>
      </c>
      <c r="C292" s="2" t="str">
        <f t="shared" si="5"/>
        <v>Dalaa VP / Baqqal / RP</v>
      </c>
    </row>
    <row r="293" spans="1:3" ht="18" hidden="1" customHeight="1" x14ac:dyDescent="0.3">
      <c r="A293" s="2" t="str">
        <f>[1]Products!A708</f>
        <v>ART00011</v>
      </c>
      <c r="B293" s="2" t="str">
        <f>[1]Products!B708</f>
        <v>DALAA Couches VP Taille 6</v>
      </c>
      <c r="C293" s="2" t="str">
        <f t="shared" si="5"/>
        <v>Dalaa VP / Baqqal / RP</v>
      </c>
    </row>
    <row r="294" spans="1:3" ht="18" hidden="1" customHeight="1" x14ac:dyDescent="0.3">
      <c r="A294" s="2" t="str">
        <f>[1]Products!A779</f>
        <v>ART01130</v>
      </c>
      <c r="B294" s="2" t="str">
        <f>[1]Products!B779</f>
        <v>DALAA Couches RP Taille 4 16U</v>
      </c>
      <c r="C294" s="2" t="str">
        <f t="shared" si="5"/>
        <v>Dalaa VP / Baqqal / RP</v>
      </c>
    </row>
    <row r="295" spans="1:3" ht="18" hidden="1" customHeight="1" x14ac:dyDescent="0.3">
      <c r="A295" s="2" t="str">
        <f>[1]Products!A1102</f>
        <v>ART00010</v>
      </c>
      <c r="B295" s="2" t="str">
        <f>[1]Products!B1102</f>
        <v>DALAA Couches VP Taille 5</v>
      </c>
      <c r="C295" s="2" t="str">
        <f t="shared" si="5"/>
        <v>Dalaa VP / Baqqal / RP</v>
      </c>
    </row>
    <row r="296" spans="1:3" ht="18" hidden="1" customHeight="1" x14ac:dyDescent="0.3">
      <c r="A296" s="2" t="str">
        <f>[1]Products!A1588</f>
        <v>ART00409</v>
      </c>
      <c r="B296" s="2" t="str">
        <f>[1]Products!B1588</f>
        <v>DALAA Pack Bakal Taille 4 76U+4U GRT</v>
      </c>
      <c r="C296" s="2" t="str">
        <f t="shared" si="5"/>
        <v>Dalaa VP / Baqqal / RP</v>
      </c>
    </row>
    <row r="297" spans="1:3" ht="18" hidden="1" customHeight="1" x14ac:dyDescent="0.3">
      <c r="A297" s="2" t="str">
        <f>[1]Products!A1589</f>
        <v>ART00410</v>
      </c>
      <c r="B297" s="2" t="str">
        <f>[1]Products!B1589</f>
        <v>DALAA Pack Bakal Taille 5 68U+6U GRT</v>
      </c>
      <c r="C297" s="2" t="str">
        <f t="shared" si="5"/>
        <v>Dalaa VP / Baqqal / RP</v>
      </c>
    </row>
    <row r="298" spans="1:3" ht="18" hidden="1" customHeight="1" x14ac:dyDescent="0.3">
      <c r="A298" s="2" t="str">
        <f>[1]Products!A2084</f>
        <v>ART00955</v>
      </c>
      <c r="B298" s="2" t="str">
        <f>[1]Products!B2084</f>
        <v>DALAA Pack Bakal Taille 4 76U</v>
      </c>
      <c r="C298" s="2" t="str">
        <f t="shared" si="5"/>
        <v>Dalaa VP / Baqqal / RP</v>
      </c>
    </row>
    <row r="299" spans="1:3" ht="18" hidden="1" customHeight="1" x14ac:dyDescent="0.3">
      <c r="A299" s="2" t="str">
        <f>[1]Products!A2265</f>
        <v>ART01131</v>
      </c>
      <c r="B299" s="2" t="str">
        <f>[1]Products!B2265</f>
        <v>DALAA Couches RP Taille 5 14U</v>
      </c>
      <c r="C299" s="2" t="str">
        <f t="shared" si="5"/>
        <v>Dalaa VP / Baqqal / RP</v>
      </c>
    </row>
    <row r="300" spans="1:3" ht="18" hidden="1" customHeight="1" x14ac:dyDescent="0.3">
      <c r="A300" s="2" t="str">
        <f>[1]Products!A2319</f>
        <v>ART01201</v>
      </c>
      <c r="B300" s="2" t="str">
        <f>[1]Products!B2319</f>
        <v>DALAA Couches VP Taille 2 56U+2U GRT</v>
      </c>
      <c r="C300" s="2" t="str">
        <f t="shared" si="5"/>
        <v>Dalaa VP / Baqqal / RP</v>
      </c>
    </row>
    <row r="301" spans="1:3" ht="18" hidden="1" customHeight="1" x14ac:dyDescent="0.3">
      <c r="A301" s="2" t="str">
        <f>[1]Products!A2320</f>
        <v>ART01202</v>
      </c>
      <c r="B301" s="2" t="str">
        <f>[1]Products!B2320</f>
        <v>DALAA Couches VP Taille 3 46U+2U GRT</v>
      </c>
      <c r="C301" s="2" t="str">
        <f t="shared" si="5"/>
        <v>Dalaa VP / Baqqal / RP</v>
      </c>
    </row>
    <row r="302" spans="1:3" ht="18" hidden="1" customHeight="1" x14ac:dyDescent="0.3">
      <c r="A302" s="2" t="str">
        <f>[1]Products!A2321</f>
        <v>ART01204</v>
      </c>
      <c r="B302" s="2" t="str">
        <f>[1]Products!B2321</f>
        <v>DALAA Couches VP Taille 5 36U+2U GRT</v>
      </c>
      <c r="C302" s="2" t="str">
        <f t="shared" si="5"/>
        <v>Dalaa VP / Baqqal / RP</v>
      </c>
    </row>
    <row r="303" spans="1:3" ht="18" hidden="1" customHeight="1" x14ac:dyDescent="0.3">
      <c r="A303" s="2" t="str">
        <f>[1]Products!A2322</f>
        <v>ART01205</v>
      </c>
      <c r="B303" s="2" t="str">
        <f>[1]Products!B2322</f>
        <v>DALAA Couches VP Taille 6 30U+2U GRT</v>
      </c>
      <c r="C303" s="2" t="str">
        <f t="shared" si="5"/>
        <v>Dalaa VP / Baqqal / RP</v>
      </c>
    </row>
    <row r="304" spans="1:3" ht="18" hidden="1" customHeight="1" x14ac:dyDescent="0.3">
      <c r="A304" s="2" t="str">
        <f>[1]Products!A2430</f>
        <v>ART01311</v>
      </c>
      <c r="B304" s="2" t="str">
        <f>[1]Products!B2430</f>
        <v>DALAA Couche Colis Skhawa 3U Taille 4 + 1U VP Taille 5 + Mouchoir Poche Gratuit (1CS = 1U)</v>
      </c>
      <c r="C304" s="2" t="str">
        <f t="shared" si="5"/>
        <v>Dalaa VP / Baqqal / RP</v>
      </c>
    </row>
    <row r="305" spans="1:3" ht="18" hidden="1" customHeight="1" x14ac:dyDescent="0.3">
      <c r="A305" s="2" t="str">
        <f>[1]Products!A2508</f>
        <v>ART01398</v>
      </c>
      <c r="B305" s="2" t="str">
        <f>[1]Products!B2508</f>
        <v>DALAA Couche Colis Skhawa 4U VP Taille 3 (46 Couches) + 1 Pack RP Taille 3 (18 Couches)</v>
      </c>
      <c r="C305" s="2" t="str">
        <f t="shared" si="5"/>
        <v>Dalaa VP / Baqqal / RP</v>
      </c>
    </row>
    <row r="306" spans="1:3" ht="18" hidden="1" customHeight="1" x14ac:dyDescent="0.3">
      <c r="A306" s="2" t="str">
        <f>[1]Products!A2509</f>
        <v>ART01399</v>
      </c>
      <c r="B306" s="2" t="str">
        <f>[1]Products!B2509</f>
        <v>DALAA Couche Colis Skhawa 4U VP Taille 4 (42 Couches) + 1 Pack RP Taille 4 (16 Couches)</v>
      </c>
      <c r="C306" s="2" t="str">
        <f t="shared" si="5"/>
        <v>Dalaa VP / Baqqal / RP</v>
      </c>
    </row>
    <row r="307" spans="1:3" ht="18" hidden="1" customHeight="1" x14ac:dyDescent="0.3">
      <c r="A307" s="2" t="str">
        <f>[1]Products!A2510</f>
        <v>ART01401</v>
      </c>
      <c r="B307" s="2" t="str">
        <f>[1]Products!B2510</f>
        <v>DALAA Couche Colis Skhawa 4U VP Taille 5 (36 Couches) + 1 Pack RP Taille 5 (14 Couches)</v>
      </c>
      <c r="C307" s="2" t="str">
        <f t="shared" si="5"/>
        <v>Dalaa VP / Baqqal / RP</v>
      </c>
    </row>
    <row r="308" spans="1:3" ht="18" hidden="1" customHeight="1" x14ac:dyDescent="0.3">
      <c r="A308" s="2" t="str">
        <f>[1]Products!A2514</f>
        <v>ART01402</v>
      </c>
      <c r="B308" s="2" t="str">
        <f>[1]Products!B2514</f>
        <v>DALAA Couche Colis Skhawa 4U VP Taille 6 (30 Couches) + 1 Pack RP Taille 5 (14 Couches)</v>
      </c>
      <c r="C308" s="2" t="str">
        <f t="shared" si="5"/>
        <v>Dalaa VP / Baqqal / RP</v>
      </c>
    </row>
    <row r="309" spans="1:3" ht="18" hidden="1" customHeight="1" x14ac:dyDescent="0.3">
      <c r="A309" s="2" t="str">
        <f>[1]Products!A2557</f>
        <v>ART01448</v>
      </c>
      <c r="B309" s="2" t="str">
        <f>[1]Products!B2557</f>
        <v>DALAA Colis Skhawa 4U VP Taille 5 (36 Couches + 2U GRT) + 1U Dalaa Mouchoir 550 + Wooly Mouchoir Poche Pack 15U</v>
      </c>
      <c r="C309" s="2" t="str">
        <f t="shared" si="5"/>
        <v>Dalaa VP / Baqqal / RP</v>
      </c>
    </row>
    <row r="310" spans="1:3" ht="18" hidden="1" customHeight="1" x14ac:dyDescent="0.3">
      <c r="A310" s="2" t="str">
        <f>[1]Products!A2759</f>
        <v>ART02951</v>
      </c>
      <c r="B310" s="2" t="str">
        <f>[1]Products!B2759</f>
        <v>CS-DALAA Couches VP Taille 3</v>
      </c>
      <c r="C310" s="2" t="str">
        <f t="shared" si="5"/>
        <v>Dalaa VP / Baqqal / RP</v>
      </c>
    </row>
    <row r="311" spans="1:3" ht="18" hidden="1" customHeight="1" x14ac:dyDescent="0.3">
      <c r="A311" s="2" t="str">
        <f>[1]Products!A2760</f>
        <v>ART02953</v>
      </c>
      <c r="B311" s="2" t="str">
        <f>[1]Products!B2760</f>
        <v>CS-DALAA Couches VP Taille 4</v>
      </c>
      <c r="C311" s="2" t="str">
        <f t="shared" si="5"/>
        <v>Dalaa VP / Baqqal / RP</v>
      </c>
    </row>
    <row r="312" spans="1:3" ht="18" hidden="1" customHeight="1" x14ac:dyDescent="0.3">
      <c r="A312" s="2" t="str">
        <f>[1]Products!A2761</f>
        <v>ART02952</v>
      </c>
      <c r="B312" s="2" t="str">
        <f>[1]Products!B2761</f>
        <v>CS-DALAA Couches VP Taille 5</v>
      </c>
      <c r="C312" s="2" t="str">
        <f t="shared" si="5"/>
        <v>Dalaa VP / Baqqal / RP</v>
      </c>
    </row>
    <row r="313" spans="1:3" ht="18" hidden="1" customHeight="1" x14ac:dyDescent="0.3">
      <c r="A313" s="2" t="str">
        <f>[1]Products!A2762</f>
        <v>ART02950</v>
      </c>
      <c r="B313" s="2" t="str">
        <f>[1]Products!B2762</f>
        <v>CS-DALAA Couches VP Taille 2</v>
      </c>
      <c r="C313" s="2" t="str">
        <f t="shared" si="5"/>
        <v>Dalaa VP / Baqqal / RP</v>
      </c>
    </row>
    <row r="314" spans="1:3" ht="18" hidden="1" customHeight="1" x14ac:dyDescent="0.3">
      <c r="A314" s="2" t="str">
        <f>[1]Products!A2769</f>
        <v>ART02960</v>
      </c>
      <c r="B314" s="2" t="str">
        <f>[1]Products!B2769</f>
        <v>CS-DALAA Couches RP Taille 6  11U</v>
      </c>
      <c r="C314" s="2" t="str">
        <f t="shared" si="5"/>
        <v>Dalaa VP / Baqqal / RP</v>
      </c>
    </row>
    <row r="315" spans="1:3" ht="18" hidden="1" customHeight="1" x14ac:dyDescent="0.3">
      <c r="A315" s="2" t="str">
        <f>[1]Products!A2770</f>
        <v>ART02949</v>
      </c>
      <c r="B315" s="2" t="str">
        <f>[1]Products!B2770</f>
        <v>CS-DALAA Couches VP Taille 6</v>
      </c>
      <c r="C315" s="2" t="str">
        <f t="shared" si="5"/>
        <v>Dalaa VP / Baqqal / RP</v>
      </c>
    </row>
    <row r="316" spans="1:3" ht="18" hidden="1" customHeight="1" x14ac:dyDescent="0.3">
      <c r="A316" s="2" t="str">
        <f>[1]Products!A2771</f>
        <v>ART02962</v>
      </c>
      <c r="B316" s="2" t="str">
        <f>[1]Products!B2771</f>
        <v>CS-DALAA Couches RP Taille 3 18U</v>
      </c>
      <c r="C316" s="2" t="str">
        <f t="shared" si="5"/>
        <v>Dalaa VP / Baqqal / RP</v>
      </c>
    </row>
    <row r="317" spans="1:3" ht="18" hidden="1" customHeight="1" x14ac:dyDescent="0.3">
      <c r="A317" s="2" t="str">
        <f>[1]Products!A2773</f>
        <v>ART02963</v>
      </c>
      <c r="B317" s="2" t="str">
        <f>[1]Products!B2773</f>
        <v>CS-DALAA Couches RP Taille 2  22U</v>
      </c>
      <c r="C317" s="2" t="str">
        <f t="shared" si="5"/>
        <v>Dalaa VP / Baqqal / RP</v>
      </c>
    </row>
    <row r="318" spans="1:3" ht="18" hidden="1" customHeight="1" x14ac:dyDescent="0.3">
      <c r="A318" s="2" t="str">
        <f>[1]Products!A2781</f>
        <v>ART02961</v>
      </c>
      <c r="B318" s="2" t="str">
        <f>[1]Products!B2781</f>
        <v>CS-DALAA Couches RP Taille 4 16U</v>
      </c>
      <c r="C318" s="2" t="str">
        <f t="shared" si="5"/>
        <v>Dalaa VP / Baqqal / RP</v>
      </c>
    </row>
    <row r="319" spans="1:3" ht="18" hidden="1" customHeight="1" x14ac:dyDescent="0.3">
      <c r="A319" s="2" t="str">
        <f>[1]Products!A2812</f>
        <v>ART02983</v>
      </c>
      <c r="B319" s="2" t="str">
        <f>[1]Products!B2812</f>
        <v>DALAA Pack Bakal Taille 5 66+4U GRT</v>
      </c>
      <c r="C319" s="2" t="str">
        <f t="shared" si="5"/>
        <v>Dalaa VP / Baqqal / RP</v>
      </c>
    </row>
    <row r="320" spans="1:3" ht="18" hidden="1" customHeight="1" x14ac:dyDescent="0.3">
      <c r="A320" s="2" t="str">
        <f>[1]Products!A2901</f>
        <v>ART02959</v>
      </c>
      <c r="B320" s="2" t="str">
        <f>[1]Products!B2901</f>
        <v>CS-DALAA Couches RP Taille 5 14U</v>
      </c>
      <c r="C320" s="2" t="str">
        <f t="shared" si="5"/>
        <v>Dalaa VP / Baqqal / RP</v>
      </c>
    </row>
    <row r="321" spans="1:3" ht="18" hidden="1" customHeight="1" x14ac:dyDescent="0.3">
      <c r="A321" s="2" t="str">
        <f>[1]Products!A3114</f>
        <v>ART03193</v>
      </c>
      <c r="B321" s="2" t="str">
        <f>[1]Products!B3114</f>
        <v>DALAA VP Taille 7 26U</v>
      </c>
      <c r="C321" s="2" t="str">
        <f t="shared" si="5"/>
        <v>Dalaa VP / Baqqal / RP</v>
      </c>
    </row>
    <row r="322" spans="1:3" ht="18" hidden="1" customHeight="1" x14ac:dyDescent="0.3">
      <c r="A322" s="2" t="str">
        <f>[1]Products!A3116</f>
        <v>ART03203</v>
      </c>
      <c r="B322" s="2" t="str">
        <f>[1]Products!B3116</f>
        <v>DALAA Couches VP Taille 5-Pack Vert</v>
      </c>
      <c r="C322" s="2" t="str">
        <f t="shared" si="5"/>
        <v>Dalaa VP / Baqqal / RP</v>
      </c>
    </row>
    <row r="323" spans="1:3" ht="18" hidden="1" customHeight="1" x14ac:dyDescent="0.3">
      <c r="A323" s="2" t="str">
        <f>[1]Products!A3117</f>
        <v>ART03204</v>
      </c>
      <c r="B323" s="2" t="str">
        <f>[1]Products!B3117</f>
        <v>DALAA Couches VP Taille 6-Pack Vert</v>
      </c>
      <c r="C323" s="2" t="str">
        <f t="shared" si="5"/>
        <v>Dalaa VP / Baqqal / RP</v>
      </c>
    </row>
    <row r="324" spans="1:3" ht="18" hidden="1" customHeight="1" x14ac:dyDescent="0.3">
      <c r="A324" s="2" t="str">
        <f>[1]Products!A3118</f>
        <v>ART03205</v>
      </c>
      <c r="B324" s="2" t="str">
        <f>[1]Products!B3118</f>
        <v>DALAA Couches VP Taille 3-Pack Vert</v>
      </c>
      <c r="C324" s="2" t="str">
        <f t="shared" si="5"/>
        <v>Dalaa VP / Baqqal / RP</v>
      </c>
    </row>
    <row r="325" spans="1:3" ht="18" hidden="1" customHeight="1" x14ac:dyDescent="0.3">
      <c r="A325" s="2" t="str">
        <f>[1]Products!A3119</f>
        <v>ART03180</v>
      </c>
      <c r="B325" s="2" t="str">
        <f>[1]Products!B3119</f>
        <v>DALAA Couches VP Taille 4-Pack Vert</v>
      </c>
      <c r="C325" s="2" t="str">
        <f t="shared" si="5"/>
        <v>Dalaa VP / Baqqal / RP</v>
      </c>
    </row>
    <row r="326" spans="1:3" ht="18" hidden="1" customHeight="1" x14ac:dyDescent="0.3">
      <c r="A326" s="2" t="str">
        <f>[1]Products!A3171</f>
        <v>ART03163</v>
      </c>
      <c r="B326" s="2" t="str">
        <f>[1]Products!B3171</f>
        <v>DALAA Pack Bakal Taille 6 56+4U GRT</v>
      </c>
      <c r="C326" s="2" t="str">
        <f t="shared" si="5"/>
        <v>Dalaa VP / Baqqal / RP</v>
      </c>
    </row>
    <row r="327" spans="1:3" ht="18" hidden="1" customHeight="1" x14ac:dyDescent="0.3">
      <c r="A327" s="2" t="str">
        <f>[1]Products!A3357</f>
        <v>ART03192</v>
      </c>
      <c r="B327" s="2" t="str">
        <f>[1]Products!B3357</f>
        <v>DALAA Essentials Pack Baqal Taille 4 76U</v>
      </c>
      <c r="C327" s="2" t="str">
        <f t="shared" si="5"/>
        <v>Dalaa VP / Baqqal / RP</v>
      </c>
    </row>
    <row r="328" spans="1:3" ht="18" hidden="1" customHeight="1" x14ac:dyDescent="0.3">
      <c r="A328" s="2" t="str">
        <f>[1]Products!A3381</f>
        <v>ART03207</v>
      </c>
      <c r="B328" s="2" t="str">
        <f>[1]Products!B3381</f>
        <v>DALAA Couches RP Taille 6  11U</v>
      </c>
      <c r="C328" s="2" t="str">
        <f t="shared" ref="C328:C389" si="6">IF(OR(ISNUMBER(SEARCH("SELHAM",B328)),ISNUMBER(SEARCH("LHAFLA",B328)),ISNUMBER(SEARCH("ZINE",B328)),ISNUMBER(SEARCH("tiyay",B328)),ISNUMBER(SEARCH("alouns",B328)),ISNUMBER(SEARCH("lmhrat",B328))),"The Al Itkane",IF(AND(ISNUMBER(SEARCH("CALIN",B328)),ISNUMBER(SEARCH("RP",B328)),NOT(ISNUMBER(SEARCH("VP",B328)))),"Calin RP",IF(AND(ISNUMBER(SEARCH("CALIN",B328)),ISNUMBER(SEARCH("VP",B328))),"Calin VP",IF(AND(ISNUMBER(SEARCH("MIO",B328)),OR(ISNUMBER(SEARCH("Vaisselle",B328)),ISNUMBER(SEARCH("vaisselle",B328)))),"Mio Liquid Vaisselle",IF(AND(ISNUMBER(SEARCH("MIO",B328)),ISNUMBER(SEARCH("Javel",B328))),"Mio Javel",IF(AND(ISNUMBER(SEARCH("MIO",B328)),ISNUMBER(SEARCH("Matic",B328))),"Mio Matic",IF(AND(ISNUMBER(SEARCH("MIO",B328)),OR(ISNUMBER(SEARCH("Détérgent",B328)),ISNUMBER(SEARCH("Poudre",B328)),ISNUMBER(SEARCH("Semi Auto",B328)),ISNUMBER(SEARCH("1KG",B328)),ISNUMBER(SEARCH("500G",B328)),ISNUMBER(SEARCH("10KG",B328)),ISNUMBER(SEARCH("1.5K",B328)),ISNUMBER(SEARCH("215G",B328)),ISNUMBER(SEARCH("350G",B328)),ISNUMBER(SEARCH("90G",B328)),ISNUMBER(SEARCH("Gold",B328)),ISNUMBER(SEARCH("Citron",B328)),ISNUMBER(SEARCH("Rose",B328)),ISNUMBER(SEARCH("Lessive",B328))),NOT(OR(ISNUMBER(SEARCH("Vaisselle",B328)),ISNUMBER(SEARCH("Javel",B328)),ISNUMBER(SEARCH("Matic",B328)),ISNUMBER(SEARCH("Nettoyant",B328)),ISNUMBER(SEARCH("Pâte",B328)),ISNUMBER(SEARCH("Lave",B328)),ISNUMBER(SEARCH("Détartrant",B328))))),"Mio main (1k+500gr)",IF(AND(ISNUMBER(SEARCH("PAPILLON",B328)),OR(ISNUMBER(SEARCH("Papier",B328)),ISNUMBER(SEARCH("Hygiénique",B328)),ISNUMBER(SEARCH("HYGIÉNIQUE",B328))),NOT(OR(ISNUMBER(SEARCH("Lingette",B328)),ISNUMBER(SEARCH("Mouchoir",B328))))),"Papillon Papier",IF(OR(ISNUMBER(SEARCH("TAJ AL SAHAR",B328)),ISNUMBER(SEARCH("TAJ BLADI",B328)),ISNUMBER(SEARCH("TAJ BELADI",B328)),ISNUMBER(SEARCH("Tilal Assahra",B328)),ISNUMBER(SEARCH("Jawharat Asahra",B328))),"TAJ SAHARA",IF(AND(OR(ISNUMBER(SEARCH("AL ITKANE",B328)),ISNUMBER(SEARCH("ALITKANE",B328)),ISNUMBER(SEARCH("PRESTO",B328))),NOT(OR(ISNUMBER(SEARCH("Thé",B328)),ISNUMBER(SEARCH("THE ",B328)),ISNUMBER(SEARCH("thé",B328)),ISNUMBER(SEARCH("SELHAM",B328)),ISNUMBER(SEARCH("LHAFLA",B328)),ISNUMBER(SEARCH("ZINE",B328)),ISNUMBER(SEARCH("tiyay",B328)),ISNUMBER(SEARCH("alouns",B328)),ISNUMBER(SEARCH("lmhrat",B328))))),"Al Itkrans + Presto",IF(OR(ISNUMBER(SEARCH("DALAA",B328)),ISNUMBER(SEARCH("CS-DALAA",B328)),ISNUMBER(SEARCH("DALINA",B328))),"Dalaa VP / Baqqal / RP",IF(OR(LEFT(UPPER(B328),4)="MIA ",LEFT(UPPER(B328),6)="CS-MIA"),"Mia",IF(OR(LEFT(UPPER(B328),5)="NOVA ",LEFT(UPPER(B328),7)="CS-NOVA"),"Nova",IF(OR(ISNUMBER(SEARCH("PRIMA ",B328)),ISNUMBER(SEARCH("CS-PRIMA",B328))),"Prima",IF(OR(ISNUMBER(SEARCH("Douceur",B328)),ISNUMBER(SEARCH("DOUCEUR",B328))),"Douceur",IF(OR(ISNUMBER(SEARCH("SANGO",B328)),ISNUMBER(SEARCH("CS-SANGO",B328))),"SANGO",IF(ISNUMBER(SEARCH("BLANDOUX",B328)),"Blandoux",IF(ISNUMBER(SEARCH("SHIWAMI",B328)),"Shiwame",IF(ISNUMBER(SEARCH("KELLOGG",B328)),"Kelloggs",IF(OR(ISNUMBER(SEARCH("TOBIGO",B328)),ISNUMBER(SEARCH("DWIST",B328))),"Tobigo",IF(OR(ISNUMBER(SEARCH("MARISOL",B328)),ISNUMBER(SEARCH("MARESOL",B328))),"Maresol",IF(OR(ISNUMBER(SEARCH("TAKIS",B328)),ISNUMBER(SEARCH("TAKYS",B328))),"TAKYS",IF(ISNUMBER(SEARCH("TAWIL",B328)),"Tawil",IF(ISNUMBER(SEARCH("FROMY",B328)),"Fromy",""))))))))))))))))))))))))</f>
        <v>Dalaa VP / Baqqal / RP</v>
      </c>
    </row>
    <row r="329" spans="1:3" ht="18" hidden="1" customHeight="1" x14ac:dyDescent="0.3">
      <c r="A329" s="2" t="str">
        <f>[1]Products!A3382</f>
        <v>ART03208</v>
      </c>
      <c r="B329" s="2" t="str">
        <f>[1]Products!B3382</f>
        <v>DALAA Couches RP Taille 3 18U</v>
      </c>
      <c r="C329" s="2" t="str">
        <f t="shared" si="6"/>
        <v>Dalaa VP / Baqqal / RP</v>
      </c>
    </row>
    <row r="330" spans="1:3" ht="18" hidden="1" customHeight="1" x14ac:dyDescent="0.3">
      <c r="A330" s="2" t="str">
        <f>[1]Products!A3383</f>
        <v>ART03209</v>
      </c>
      <c r="B330" s="2" t="str">
        <f>[1]Products!B3383</f>
        <v>DALAA Couches RP Taille 2  22U</v>
      </c>
      <c r="C330" s="2" t="str">
        <f t="shared" si="6"/>
        <v>Dalaa VP / Baqqal / RP</v>
      </c>
    </row>
    <row r="331" spans="1:3" ht="18" hidden="1" customHeight="1" x14ac:dyDescent="0.3">
      <c r="A331" s="2" t="str">
        <f>[1]Products!A3410</f>
        <v>ART03239</v>
      </c>
      <c r="B331" s="2" t="str">
        <f>[1]Products!B3410</f>
        <v>DALAA Couches VP Taille 2-Pack Vert</v>
      </c>
      <c r="C331" s="2" t="str">
        <f t="shared" si="6"/>
        <v>Dalaa VP / Baqqal / RP</v>
      </c>
    </row>
    <row r="332" spans="1:3" ht="18" hidden="1" customHeight="1" x14ac:dyDescent="0.3">
      <c r="A332" s="2" t="str">
        <f>[1]Products!A295</f>
        <v>ART01673</v>
      </c>
      <c r="B332" s="2" t="str">
        <f>[1]Products!B295</f>
        <v>CALIN Couches VP Taille 2 50U +4 GRT</v>
      </c>
      <c r="C332" s="2" t="str">
        <f t="shared" si="6"/>
        <v>Calin VP</v>
      </c>
    </row>
    <row r="333" spans="1:3" ht="18" hidden="1" customHeight="1" x14ac:dyDescent="0.3">
      <c r="A333" s="2" t="str">
        <f>[1]Products!A298</f>
        <v>ART01674</v>
      </c>
      <c r="B333" s="2" t="str">
        <f>[1]Products!B298</f>
        <v>CALIN Couches VP Taille 3 42U + 4 GRT</v>
      </c>
      <c r="C333" s="2" t="str">
        <f t="shared" si="6"/>
        <v>Calin VP</v>
      </c>
    </row>
    <row r="334" spans="1:3" ht="18" hidden="1" customHeight="1" x14ac:dyDescent="0.3">
      <c r="A334" s="2" t="str">
        <f>[1]Products!A299</f>
        <v>ART01671</v>
      </c>
      <c r="B334" s="2" t="str">
        <f>[1]Products!B299</f>
        <v>CALIN Couches VP Taille 5 28U +4 GRT</v>
      </c>
      <c r="C334" s="2" t="str">
        <f t="shared" si="6"/>
        <v>Calin VP</v>
      </c>
    </row>
    <row r="335" spans="1:3" ht="18" hidden="1" customHeight="1" x14ac:dyDescent="0.3">
      <c r="A335" s="2" t="str">
        <f>[1]Products!A321</f>
        <v>ART01672</v>
      </c>
      <c r="B335" s="2" t="str">
        <f>[1]Products!B321</f>
        <v>CALIN Couches VP Taille 6 22U+4 GRT</v>
      </c>
      <c r="C335" s="2" t="str">
        <f t="shared" si="6"/>
        <v>Calin VP</v>
      </c>
    </row>
    <row r="336" spans="1:3" ht="18" hidden="1" customHeight="1" x14ac:dyDescent="0.3">
      <c r="A336" s="2" t="str">
        <f>[1]Products!A322</f>
        <v>ART01675</v>
      </c>
      <c r="B336" s="2" t="str">
        <f>[1]Products!B322</f>
        <v>CALIN Couches VP Taille 4 36U +4 GRT</v>
      </c>
      <c r="C336" s="2" t="str">
        <f t="shared" si="6"/>
        <v>Calin VP</v>
      </c>
    </row>
    <row r="337" spans="1:3" ht="18" hidden="1" customHeight="1" x14ac:dyDescent="0.3">
      <c r="A337" s="2" t="str">
        <f>[1]Products!A2422</f>
        <v>ART01304</v>
      </c>
      <c r="B337" s="2" t="str">
        <f>[1]Products!B2422</f>
        <v>CALIN Couches VP Taille 2 - 66 Couches</v>
      </c>
      <c r="C337" s="2" t="str">
        <f t="shared" si="6"/>
        <v>Calin VP</v>
      </c>
    </row>
    <row r="338" spans="1:3" ht="18" hidden="1" customHeight="1" x14ac:dyDescent="0.3">
      <c r="A338" s="2" t="str">
        <f>[1]Products!A2423</f>
        <v>ART01305</v>
      </c>
      <c r="B338" s="2" t="str">
        <f>[1]Products!B2423</f>
        <v>CALIN Couches VP Taille 3 - 56 Couches</v>
      </c>
      <c r="C338" s="2" t="str">
        <f t="shared" si="6"/>
        <v>Calin VP</v>
      </c>
    </row>
    <row r="339" spans="1:3" ht="18" hidden="1" customHeight="1" x14ac:dyDescent="0.3">
      <c r="A339" s="2" t="str">
        <f>[1]Products!A2424</f>
        <v>ART01306</v>
      </c>
      <c r="B339" s="2" t="str">
        <f>[1]Products!B2424</f>
        <v>CALIN Couches VP Taille 4 - 52 Couches</v>
      </c>
      <c r="C339" s="2" t="str">
        <f t="shared" si="6"/>
        <v>Calin VP</v>
      </c>
    </row>
    <row r="340" spans="1:3" ht="18" hidden="1" customHeight="1" x14ac:dyDescent="0.3">
      <c r="A340" s="2" t="str">
        <f>[1]Products!A2426</f>
        <v>ART01307</v>
      </c>
      <c r="B340" s="2" t="str">
        <f>[1]Products!B2426</f>
        <v>CALIN Couches VP Taille 5 - 42 Couches</v>
      </c>
      <c r="C340" s="2" t="str">
        <f t="shared" si="6"/>
        <v>Calin VP</v>
      </c>
    </row>
    <row r="341" spans="1:3" ht="18" hidden="1" customHeight="1" x14ac:dyDescent="0.3">
      <c r="A341" s="2" t="str">
        <f>[1]Products!A2427</f>
        <v>ART01308</v>
      </c>
      <c r="B341" s="2" t="str">
        <f>[1]Products!B2427</f>
        <v>CALIN Couches VP Taille 6 - 36 Couches</v>
      </c>
      <c r="C341" s="2" t="str">
        <f t="shared" si="6"/>
        <v>Calin VP</v>
      </c>
    </row>
    <row r="342" spans="1:3" ht="18" hidden="1" customHeight="1" x14ac:dyDescent="0.3">
      <c r="A342" s="2" t="str">
        <f>[1]Products!A2764</f>
        <v>ART02946</v>
      </c>
      <c r="B342" s="2" t="str">
        <f>[1]Products!B2764</f>
        <v>CS-CALIN Couches VP Taille 3 42U + 4 GRT</v>
      </c>
      <c r="C342" s="2" t="str">
        <f t="shared" si="6"/>
        <v>Calin VP</v>
      </c>
    </row>
    <row r="343" spans="1:3" ht="18" hidden="1" customHeight="1" x14ac:dyDescent="0.3">
      <c r="A343" s="2" t="str">
        <f>[1]Products!A2765</f>
        <v>ART02947</v>
      </c>
      <c r="B343" s="2" t="str">
        <f>[1]Products!B2765</f>
        <v>CS-CALIN Couches VP Taille 4 36U +4 GRT</v>
      </c>
      <c r="C343" s="2" t="str">
        <f t="shared" si="6"/>
        <v>Calin VP</v>
      </c>
    </row>
    <row r="344" spans="1:3" ht="18" hidden="1" customHeight="1" x14ac:dyDescent="0.3">
      <c r="A344" s="2" t="str">
        <f>[1]Products!A2766</f>
        <v>ART02948</v>
      </c>
      <c r="B344" s="2" t="str">
        <f>[1]Products!B2766</f>
        <v>CS-CALIN Couches VP Taille 5 28U +4 GRT</v>
      </c>
      <c r="C344" s="2" t="str">
        <f t="shared" si="6"/>
        <v>Calin VP</v>
      </c>
    </row>
    <row r="345" spans="1:3" ht="18" hidden="1" customHeight="1" x14ac:dyDescent="0.3">
      <c r="A345" s="2" t="str">
        <f>[1]Products!A2777</f>
        <v>ART02945</v>
      </c>
      <c r="B345" s="2" t="str">
        <f>[1]Products!B2777</f>
        <v>CS-CALIN Couches VP Taille 2 50U +4 GRT</v>
      </c>
      <c r="C345" s="2" t="str">
        <f t="shared" si="6"/>
        <v>Calin VP</v>
      </c>
    </row>
    <row r="346" spans="1:3" ht="18" hidden="1" customHeight="1" x14ac:dyDescent="0.3">
      <c r="A346" s="2" t="str">
        <f>[1]Products!A34</f>
        <v>ART00049</v>
      </c>
      <c r="B346" s="2" t="str">
        <f>[1]Products!B34</f>
        <v>CALIN Couches RP Taille 2</v>
      </c>
      <c r="C346" s="2" t="str">
        <f t="shared" si="6"/>
        <v>Calin RP</v>
      </c>
    </row>
    <row r="347" spans="1:3" ht="18" hidden="1" customHeight="1" x14ac:dyDescent="0.3">
      <c r="A347" s="2" t="str">
        <f>[1]Products!A35</f>
        <v>ART00052</v>
      </c>
      <c r="B347" s="2" t="str">
        <f>[1]Products!B35</f>
        <v>CALIN Couches RP Taille 5</v>
      </c>
      <c r="C347" s="2" t="str">
        <f t="shared" si="6"/>
        <v>Calin RP</v>
      </c>
    </row>
    <row r="348" spans="1:3" ht="18" hidden="1" customHeight="1" x14ac:dyDescent="0.3">
      <c r="A348" s="2" t="str">
        <f>[1]Products!A47</f>
        <v>ART00050</v>
      </c>
      <c r="B348" s="2" t="str">
        <f>[1]Products!B47</f>
        <v>CALIN Couches RP Taille 3</v>
      </c>
      <c r="C348" s="2" t="str">
        <f t="shared" si="6"/>
        <v>Calin RP</v>
      </c>
    </row>
    <row r="349" spans="1:3" ht="18" hidden="1" customHeight="1" x14ac:dyDescent="0.3">
      <c r="A349" s="2" t="str">
        <f>[1]Products!A531</f>
        <v>ART00051</v>
      </c>
      <c r="B349" s="2" t="str">
        <f>[1]Products!B531</f>
        <v>CALIN Couches RP Taille 4</v>
      </c>
      <c r="C349" s="2" t="str">
        <f t="shared" si="6"/>
        <v>Calin RP</v>
      </c>
    </row>
    <row r="350" spans="1:3" ht="18" hidden="1" customHeight="1" x14ac:dyDescent="0.3">
      <c r="A350" s="2" t="str">
        <f>[1]Products!A2437</f>
        <v>ART01318</v>
      </c>
      <c r="B350" s="2" t="str">
        <f>[1]Products!B2437</f>
        <v>CALIN Couches RP Limited Edition Disney Taille 4</v>
      </c>
      <c r="C350" s="2" t="str">
        <f t="shared" si="6"/>
        <v>Calin RP</v>
      </c>
    </row>
    <row r="351" spans="1:3" ht="18" hidden="1" customHeight="1" x14ac:dyDescent="0.3">
      <c r="A351" s="2" t="str">
        <f>[1]Products!A2443</f>
        <v>ART01326</v>
      </c>
      <c r="B351" s="2" t="str">
        <f>[1]Products!B2443</f>
        <v>CALIN Couches RP Limited Edition Disney Taille 5</v>
      </c>
      <c r="C351" s="2" t="str">
        <f t="shared" si="6"/>
        <v>Calin RP</v>
      </c>
    </row>
    <row r="352" spans="1:3" ht="18" hidden="1" customHeight="1" x14ac:dyDescent="0.3">
      <c r="A352" s="2" t="str">
        <f>[1]Products!A2444</f>
        <v>ART01327</v>
      </c>
      <c r="B352" s="2" t="str">
        <f>[1]Products!B2444</f>
        <v>CALIN Couches RP Limited Edition Disney Taille 3</v>
      </c>
      <c r="C352" s="2" t="str">
        <f t="shared" si="6"/>
        <v>Calin RP</v>
      </c>
    </row>
    <row r="353" spans="1:3" ht="18" hidden="1" customHeight="1" x14ac:dyDescent="0.3">
      <c r="A353" s="2" t="str">
        <f>[1]Products!A2445</f>
        <v>ART01328</v>
      </c>
      <c r="B353" s="2" t="str">
        <f>[1]Products!B2445</f>
        <v>CALIN Couches RP Limited Edition Disney Taille 2</v>
      </c>
      <c r="C353" s="2" t="str">
        <f t="shared" si="6"/>
        <v>Calin RP</v>
      </c>
    </row>
    <row r="354" spans="1:3" ht="18" hidden="1" customHeight="1" x14ac:dyDescent="0.3">
      <c r="A354" s="2" t="str">
        <f>[1]Products!A2491</f>
        <v>ART01375</v>
      </c>
      <c r="B354" s="2" t="str">
        <f>[1]Products!B2491</f>
        <v>CALIN Special Care RP Taille 1 - 35 Couches</v>
      </c>
      <c r="C354" s="2" t="str">
        <f t="shared" si="6"/>
        <v>Calin RP</v>
      </c>
    </row>
    <row r="355" spans="1:3" ht="18" hidden="1" customHeight="1" x14ac:dyDescent="0.3">
      <c r="A355" s="2" t="str">
        <f>[1]Products!A2492</f>
        <v>ART01376</v>
      </c>
      <c r="B355" s="2" t="str">
        <f>[1]Products!B2492</f>
        <v>CALIN Special Care RP Taille 2 - 38 Couches</v>
      </c>
      <c r="C355" s="2" t="str">
        <f t="shared" si="6"/>
        <v>Calin RP</v>
      </c>
    </row>
    <row r="356" spans="1:3" ht="18" hidden="1" customHeight="1" x14ac:dyDescent="0.3">
      <c r="A356" s="2" t="str">
        <f>[1]Products!A2493</f>
        <v>ART01377</v>
      </c>
      <c r="B356" s="2" t="str">
        <f>[1]Products!B2493</f>
        <v>CALIN Special Care RP Taille 3 - 34 Couches</v>
      </c>
      <c r="C356" s="2" t="str">
        <f t="shared" si="6"/>
        <v>Calin RP</v>
      </c>
    </row>
    <row r="357" spans="1:3" ht="18" hidden="1" customHeight="1" x14ac:dyDescent="0.3">
      <c r="A357" s="2" t="str">
        <f>[1]Products!A2494</f>
        <v>ART01378</v>
      </c>
      <c r="B357" s="2" t="str">
        <f>[1]Products!B2494</f>
        <v>CALIN Special Care RP Taille 4 - 30 Couches</v>
      </c>
      <c r="C357" s="2" t="str">
        <f t="shared" si="6"/>
        <v>Calin RP</v>
      </c>
    </row>
    <row r="358" spans="1:3" ht="18" hidden="1" customHeight="1" x14ac:dyDescent="0.3">
      <c r="A358" s="2" t="str">
        <f>[1]Products!A2495</f>
        <v>ART01379</v>
      </c>
      <c r="B358" s="2" t="str">
        <f>[1]Products!B2495</f>
        <v>CALIN Special Care RP Taille 5 - 28 Couches</v>
      </c>
      <c r="C358" s="2" t="str">
        <f t="shared" si="6"/>
        <v>Calin RP</v>
      </c>
    </row>
    <row r="359" spans="1:3" ht="18" hidden="1" customHeight="1" x14ac:dyDescent="0.3">
      <c r="A359" s="2" t="str">
        <f>[1]Products!A2496</f>
        <v>ART01380</v>
      </c>
      <c r="B359" s="2" t="str">
        <f>[1]Products!B2496</f>
        <v>CALIN Special Care RP Taille 6 - 22 Couches</v>
      </c>
      <c r="C359" s="2" t="str">
        <f t="shared" si="6"/>
        <v>Calin RP</v>
      </c>
    </row>
    <row r="360" spans="1:3" ht="18" hidden="1" customHeight="1" x14ac:dyDescent="0.3">
      <c r="A360" s="2" t="str">
        <f>[1]Products!A3115</f>
        <v>ART00053</v>
      </c>
      <c r="B360" s="2" t="str">
        <f>[1]Products!B3115</f>
        <v>CALIN Couches RP Taille 6</v>
      </c>
      <c r="C360" s="2" t="str">
        <f t="shared" si="6"/>
        <v>Calin RP</v>
      </c>
    </row>
    <row r="361" spans="1:3" ht="18" hidden="1" customHeight="1" x14ac:dyDescent="0.3">
      <c r="A361" s="2" t="str">
        <f>[1]Products!A3950</f>
        <v>ART03744</v>
      </c>
      <c r="B361" s="2" t="str">
        <f>[1]Products!B3950</f>
        <v>BLANDOUX PAPIER HYGIÉNIQUES 3X6-9U(7+2)</v>
      </c>
      <c r="C361" s="2" t="str">
        <f t="shared" si="6"/>
        <v>Blandoux</v>
      </c>
    </row>
    <row r="362" spans="1:3" ht="18" hidden="1" customHeight="1" x14ac:dyDescent="0.3">
      <c r="A362" s="2" t="str">
        <f>[1]Products!A202</f>
        <v>ART01618</v>
      </c>
      <c r="B362" s="2" t="str">
        <f>[1]Products!B202</f>
        <v>AL ITKANE COUSCOUS MOY 1KG</v>
      </c>
      <c r="C362" s="2" t="str">
        <f t="shared" si="6"/>
        <v>Al Itkrans + Presto</v>
      </c>
    </row>
    <row r="363" spans="1:3" ht="18" hidden="1" customHeight="1" x14ac:dyDescent="0.3">
      <c r="A363" s="2" t="str">
        <f>[1]Products!A203</f>
        <v>ART01616</v>
      </c>
      <c r="B363" s="2" t="str">
        <f>[1]Products!B203</f>
        <v>AL ITKANE Spaghetti  500G</v>
      </c>
      <c r="C363" s="2" t="str">
        <f t="shared" si="6"/>
        <v>Al Itkrans + Presto</v>
      </c>
    </row>
    <row r="364" spans="1:3" ht="18" hidden="1" customHeight="1" x14ac:dyDescent="0.3">
      <c r="A364" s="2" t="str">
        <f>[1]Products!A237</f>
        <v>ART01617</v>
      </c>
      <c r="B364" s="2" t="str">
        <f>[1]Products!B237</f>
        <v>AL ITKANE COUSCOUS FIN 1KG</v>
      </c>
      <c r="C364" s="2" t="str">
        <f t="shared" si="6"/>
        <v>Al Itkrans + Presto</v>
      </c>
    </row>
    <row r="365" spans="1:3" ht="18" hidden="1" customHeight="1" x14ac:dyDescent="0.3">
      <c r="A365" s="2" t="str">
        <f>[1]Products!A240</f>
        <v>ART01615</v>
      </c>
      <c r="B365" s="2" t="str">
        <f>[1]Products!B240</f>
        <v>AL ITKANE Spaghetti 250G</v>
      </c>
      <c r="C365" s="2" t="str">
        <f t="shared" si="6"/>
        <v>Al Itkrans + Presto</v>
      </c>
    </row>
    <row r="366" spans="1:3" ht="18" hidden="1" customHeight="1" x14ac:dyDescent="0.3">
      <c r="A366" s="2" t="str">
        <f>[1]Products!A290</f>
        <v>ART00367</v>
      </c>
      <c r="B366" s="2" t="str">
        <f>[1]Products!B290</f>
        <v>AL ITKANE Langue d'oiseau 10KG</v>
      </c>
      <c r="C366" s="2" t="str">
        <f t="shared" si="6"/>
        <v>Al Itkrans + Presto</v>
      </c>
    </row>
    <row r="367" spans="1:3" ht="18" hidden="1" customHeight="1" x14ac:dyDescent="0.3">
      <c r="A367" s="2" t="str">
        <f>[1]Products!A301</f>
        <v>ART01678</v>
      </c>
      <c r="B367" s="2" t="str">
        <f>[1]Products!B301</f>
        <v>AL ITKANE  Cheveux D'ange 10KG</v>
      </c>
      <c r="C367" s="2" t="str">
        <f t="shared" si="6"/>
        <v>Al Itkrans + Presto</v>
      </c>
    </row>
    <row r="368" spans="1:3" ht="18" hidden="1" customHeight="1" x14ac:dyDescent="0.3">
      <c r="A368" s="2" t="str">
        <f>[1]Products!A415</f>
        <v>ART00516</v>
      </c>
      <c r="B368" s="2" t="str">
        <f>[1]Products!B415</f>
        <v>AL ITKANE Couscous Fin 500G</v>
      </c>
      <c r="C368" s="2" t="str">
        <f t="shared" si="6"/>
        <v>Al Itkrans + Presto</v>
      </c>
    </row>
    <row r="369" spans="1:3" ht="18" hidden="1" customHeight="1" x14ac:dyDescent="0.3">
      <c r="A369" s="2" t="str">
        <f>[1]Products!A1309</f>
        <v>ART00369</v>
      </c>
      <c r="B369" s="2" t="str">
        <f>[1]Products!B1309</f>
        <v>AL ITKANE Coquillage 10KG</v>
      </c>
      <c r="C369" s="2" t="str">
        <f t="shared" si="6"/>
        <v>Al Itkrans + Presto</v>
      </c>
    </row>
    <row r="370" spans="1:3" ht="18" hidden="1" customHeight="1" x14ac:dyDescent="0.3">
      <c r="A370" s="2" t="str">
        <f>[1]Products!A1362</f>
        <v>ART02277</v>
      </c>
      <c r="B370" s="2" t="str">
        <f>[1]Products!B1362</f>
        <v>AL ITKANE Vermicelle Moyen 500g X 12</v>
      </c>
      <c r="C370" s="2" t="str">
        <f t="shared" si="6"/>
        <v>Al Itkrans + Presto</v>
      </c>
    </row>
    <row r="371" spans="1:3" ht="18" hidden="1" customHeight="1" x14ac:dyDescent="0.3">
      <c r="A371" s="2" t="str">
        <f>[1]Products!A1548</f>
        <v>ART00365</v>
      </c>
      <c r="B371" s="2" t="str">
        <f>[1]Products!B1548</f>
        <v>AL ITKANE Vermicelle Gros 10KG</v>
      </c>
      <c r="C371" s="2" t="str">
        <f t="shared" si="6"/>
        <v>Al Itkrans + Presto</v>
      </c>
    </row>
    <row r="372" spans="1:3" ht="18" hidden="1" customHeight="1" x14ac:dyDescent="0.3">
      <c r="A372" s="2" t="str">
        <f>[1]Products!A1549</f>
        <v>ART00366</v>
      </c>
      <c r="B372" s="2" t="str">
        <f>[1]Products!B1549</f>
        <v>AL ITKANE Vermicelle Moyen 10KG</v>
      </c>
      <c r="C372" s="2" t="str">
        <f t="shared" si="6"/>
        <v>Al Itkrans + Presto</v>
      </c>
    </row>
    <row r="373" spans="1:3" ht="18" hidden="1" customHeight="1" x14ac:dyDescent="0.3">
      <c r="A373" s="2" t="str">
        <f>[1]Products!A1550</f>
        <v>ART00368</v>
      </c>
      <c r="B373" s="2" t="str">
        <f>[1]Products!B1550</f>
        <v>AL ITKANE Penne 10KG</v>
      </c>
      <c r="C373" s="2" t="str">
        <f t="shared" si="6"/>
        <v>Al Itkrans + Presto</v>
      </c>
    </row>
    <row r="374" spans="1:3" ht="18" hidden="1" customHeight="1" x14ac:dyDescent="0.3">
      <c r="A374" s="2" t="str">
        <f>[1]Products!A1551</f>
        <v>ART00370</v>
      </c>
      <c r="B374" s="2" t="str">
        <f>[1]Products!B1551</f>
        <v>AL ITKANE Coquillettes 10KG</v>
      </c>
      <c r="C374" s="2" t="str">
        <f t="shared" si="6"/>
        <v>Al Itkrans + Presto</v>
      </c>
    </row>
    <row r="375" spans="1:3" ht="18" hidden="1" customHeight="1" x14ac:dyDescent="0.3">
      <c r="A375" s="2" t="str">
        <f>[1]Products!A1552</f>
        <v>ART00371</v>
      </c>
      <c r="B375" s="2" t="str">
        <f>[1]Products!B1552</f>
        <v>AL ITKANE Coudes 10KG</v>
      </c>
      <c r="C375" s="2" t="str">
        <f t="shared" si="6"/>
        <v>Al Itkrans + Presto</v>
      </c>
    </row>
    <row r="376" spans="1:3" ht="18" hidden="1" customHeight="1" x14ac:dyDescent="0.3">
      <c r="A376" s="2" t="str">
        <f>[1]Products!A1553</f>
        <v>ART00372</v>
      </c>
      <c r="B376" s="2" t="str">
        <f>[1]Products!B1553</f>
        <v>AL ITKANE Petit Plomb 10KG</v>
      </c>
      <c r="C376" s="2" t="str">
        <f t="shared" si="6"/>
        <v>Al Itkrans + Presto</v>
      </c>
    </row>
    <row r="377" spans="1:3" ht="18" hidden="1" customHeight="1" x14ac:dyDescent="0.3">
      <c r="A377" s="2" t="str">
        <f>[1]Products!A1554</f>
        <v>ART00373</v>
      </c>
      <c r="B377" s="2" t="str">
        <f>[1]Products!B1554</f>
        <v>AL ITKANE Torsade 10KG</v>
      </c>
      <c r="C377" s="2" t="str">
        <f t="shared" si="6"/>
        <v>Al Itkrans + Presto</v>
      </c>
    </row>
    <row r="378" spans="1:3" ht="18" hidden="1" customHeight="1" x14ac:dyDescent="0.3">
      <c r="A378" s="2" t="str">
        <f>[1]Products!A1555</f>
        <v>ART00374</v>
      </c>
      <c r="B378" s="2" t="str">
        <f>[1]Products!B1555</f>
        <v>AL ITKANE Etoiles 10KG</v>
      </c>
      <c r="C378" s="2" t="str">
        <f t="shared" si="6"/>
        <v>Al Itkrans + Presto</v>
      </c>
    </row>
    <row r="379" spans="1:3" ht="18" hidden="1" customHeight="1" x14ac:dyDescent="0.3">
      <c r="A379" s="2" t="str">
        <f>[1]Products!A1676</f>
        <v>ART00514</v>
      </c>
      <c r="B379" s="2" t="str">
        <f>[1]Products!B1676</f>
        <v>AL ITKANE Couscous Moyen 500G</v>
      </c>
      <c r="C379" s="2" t="str">
        <f t="shared" si="6"/>
        <v>Al Itkrans + Presto</v>
      </c>
    </row>
    <row r="380" spans="1:3" ht="18" hidden="1" customHeight="1" x14ac:dyDescent="0.3">
      <c r="A380" s="2" t="str">
        <f>[1]Products!A1677</f>
        <v>ART00515</v>
      </c>
      <c r="B380" s="2" t="str">
        <f>[1]Products!B1677</f>
        <v>AL ITKANE Couscous Moyen 1KG</v>
      </c>
      <c r="C380" s="2" t="str">
        <f t="shared" si="6"/>
        <v>Al Itkrans + Presto</v>
      </c>
    </row>
    <row r="381" spans="1:3" ht="18" hidden="1" customHeight="1" x14ac:dyDescent="0.3">
      <c r="A381" s="2" t="str">
        <f>[1]Products!A1678</f>
        <v>ART00517</v>
      </c>
      <c r="B381" s="2" t="str">
        <f>[1]Products!B1678</f>
        <v>AL ITKANE Couscous Fin 1KG</v>
      </c>
      <c r="C381" s="2" t="str">
        <f t="shared" si="6"/>
        <v>Al Itkrans + Presto</v>
      </c>
    </row>
    <row r="382" spans="1:3" ht="18" hidden="1" customHeight="1" x14ac:dyDescent="0.3">
      <c r="A382" s="2" t="str">
        <f>[1]Products!A1692</f>
        <v>ART00533</v>
      </c>
      <c r="B382" s="2" t="str">
        <f>[1]Products!B1692</f>
        <v>AL ITKANE Cheveux d'ange Extra Fin Caisse 10KG</v>
      </c>
      <c r="C382" s="2" t="str">
        <f t="shared" si="6"/>
        <v>Al Itkrans + Presto</v>
      </c>
    </row>
    <row r="383" spans="1:3" ht="18" hidden="1" customHeight="1" x14ac:dyDescent="0.3">
      <c r="A383" s="2" t="str">
        <f>[1]Products!A1708</f>
        <v>ART00546</v>
      </c>
      <c r="B383" s="2" t="str">
        <f>[1]Products!B1708</f>
        <v>AL ITKANE Farine Fleur Blé Tendre 5KG</v>
      </c>
      <c r="C383" s="2" t="str">
        <f t="shared" si="6"/>
        <v>Al Itkrans + Presto</v>
      </c>
    </row>
    <row r="384" spans="1:3" ht="18" hidden="1" customHeight="1" x14ac:dyDescent="0.3">
      <c r="A384" s="2" t="str">
        <f>[1]Products!A1709</f>
        <v>ART00547</v>
      </c>
      <c r="B384" s="2" t="str">
        <f>[1]Products!B1709</f>
        <v>AL ITKANE Farine Fleur Blé Tendre 10KG</v>
      </c>
      <c r="C384" s="2" t="str">
        <f t="shared" si="6"/>
        <v>Al Itkrans + Presto</v>
      </c>
    </row>
    <row r="385" spans="1:3" ht="18" hidden="1" customHeight="1" x14ac:dyDescent="0.3">
      <c r="A385" s="2" t="str">
        <f>[1]Products!A1954</f>
        <v>ART00807</v>
      </c>
      <c r="B385" s="2" t="str">
        <f>[1]Products!B1954</f>
        <v>AL ITKANE Farine Fleur Blé Tendre 25KG - Laminé</v>
      </c>
      <c r="C385" s="2" t="str">
        <f t="shared" si="6"/>
        <v>Al Itkrans + Presto</v>
      </c>
    </row>
    <row r="386" spans="1:3" ht="18" hidden="1" customHeight="1" x14ac:dyDescent="0.3">
      <c r="A386" s="2" t="str">
        <f>[1]Products!A3098</f>
        <v>ART03148</v>
      </c>
      <c r="B386" s="2" t="str">
        <f>[1]Products!B3098</f>
        <v>AL ITKANE Cheveux d'ange 1Kg</v>
      </c>
      <c r="C386" s="2" t="str">
        <f t="shared" si="6"/>
        <v>Al Itkrans + Presto</v>
      </c>
    </row>
    <row r="387" spans="1:3" ht="18" hidden="1" customHeight="1" x14ac:dyDescent="0.3">
      <c r="A387" s="2" t="str">
        <f>[1]Products!A3245</f>
        <v>CF33017</v>
      </c>
      <c r="B387" s="2" t="str">
        <f>[1]Products!B3245</f>
        <v>Torsette 500G Alitkane</v>
      </c>
      <c r="C387" s="2" t="str">
        <f t="shared" si="6"/>
        <v>Al Itkrans + Presto</v>
      </c>
    </row>
    <row r="388" spans="1:3" ht="18" hidden="1" customHeight="1" x14ac:dyDescent="0.3">
      <c r="A388" s="2" t="str">
        <f>[1]Products!A3248</f>
        <v>CF33018</v>
      </c>
      <c r="B388" s="2" t="str">
        <f>[1]Products!B3248</f>
        <v>Vermicelle Moyen 500G Alitkane</v>
      </c>
      <c r="C388" s="2" t="str">
        <f t="shared" si="6"/>
        <v>Al Itkrans + Presto</v>
      </c>
    </row>
    <row r="389" spans="1:3" ht="18" hidden="1" customHeight="1" x14ac:dyDescent="0.3">
      <c r="A389" s="2" t="str">
        <f>[1]Products!A3250</f>
        <v>CF33019</v>
      </c>
      <c r="B389" s="2" t="str">
        <f>[1]Products!B3250</f>
        <v>Vermicelle Fin 500G Alitkane</v>
      </c>
      <c r="C389" s="2" t="str">
        <f t="shared" si="6"/>
        <v>Al Itkrans + Presto</v>
      </c>
    </row>
    <row r="390" spans="1:3" ht="18" hidden="1" customHeight="1" x14ac:dyDescent="0.3">
      <c r="A390" s="2" t="str">
        <f>[1]Products!A3251</f>
        <v>CF33020</v>
      </c>
      <c r="B390" s="2" t="str">
        <f>[1]Products!B3251</f>
        <v>Vermicelle Gros 500G Alitkane</v>
      </c>
      <c r="C390" s="2" t="str">
        <f t="shared" ref="C390:C452" si="7">IF(OR(ISNUMBER(SEARCH("SELHAM",B390)),ISNUMBER(SEARCH("LHAFLA",B390)),ISNUMBER(SEARCH("ZINE",B390)),ISNUMBER(SEARCH("tiyay",B390)),ISNUMBER(SEARCH("alouns",B390)),ISNUMBER(SEARCH("lmhrat",B390))),"The Al Itkane",IF(AND(ISNUMBER(SEARCH("CALIN",B390)),ISNUMBER(SEARCH("RP",B390)),NOT(ISNUMBER(SEARCH("VP",B390)))),"Calin RP",IF(AND(ISNUMBER(SEARCH("CALIN",B390)),ISNUMBER(SEARCH("VP",B390))),"Calin VP",IF(AND(ISNUMBER(SEARCH("MIO",B390)),OR(ISNUMBER(SEARCH("Vaisselle",B390)),ISNUMBER(SEARCH("vaisselle",B390)))),"Mio Liquid Vaisselle",IF(AND(ISNUMBER(SEARCH("MIO",B390)),ISNUMBER(SEARCH("Javel",B390))),"Mio Javel",IF(AND(ISNUMBER(SEARCH("MIO",B390)),ISNUMBER(SEARCH("Matic",B390))),"Mio Matic",IF(AND(ISNUMBER(SEARCH("MIO",B390)),OR(ISNUMBER(SEARCH("Détérgent",B390)),ISNUMBER(SEARCH("Poudre",B390)),ISNUMBER(SEARCH("Semi Auto",B390)),ISNUMBER(SEARCH("1KG",B390)),ISNUMBER(SEARCH("500G",B390)),ISNUMBER(SEARCH("10KG",B390)),ISNUMBER(SEARCH("1.5K",B390)),ISNUMBER(SEARCH("215G",B390)),ISNUMBER(SEARCH("350G",B390)),ISNUMBER(SEARCH("90G",B390)),ISNUMBER(SEARCH("Gold",B390)),ISNUMBER(SEARCH("Citron",B390)),ISNUMBER(SEARCH("Rose",B390)),ISNUMBER(SEARCH("Lessive",B390))),NOT(OR(ISNUMBER(SEARCH("Vaisselle",B390)),ISNUMBER(SEARCH("Javel",B390)),ISNUMBER(SEARCH("Matic",B390)),ISNUMBER(SEARCH("Nettoyant",B390)),ISNUMBER(SEARCH("Pâte",B390)),ISNUMBER(SEARCH("Lave",B390)),ISNUMBER(SEARCH("Détartrant",B390))))),"Mio main (1k+500gr)",IF(AND(ISNUMBER(SEARCH("PAPILLON",B390)),OR(ISNUMBER(SEARCH("Papier",B390)),ISNUMBER(SEARCH("Hygiénique",B390)),ISNUMBER(SEARCH("HYGIÉNIQUE",B390))),NOT(OR(ISNUMBER(SEARCH("Lingette",B390)),ISNUMBER(SEARCH("Mouchoir",B390))))),"Papillon Papier",IF(OR(ISNUMBER(SEARCH("TAJ AL SAHAR",B390)),ISNUMBER(SEARCH("TAJ BLADI",B390)),ISNUMBER(SEARCH("TAJ BELADI",B390)),ISNUMBER(SEARCH("Tilal Assahra",B390)),ISNUMBER(SEARCH("Jawharat Asahra",B390))),"TAJ SAHARA",IF(AND(OR(ISNUMBER(SEARCH("AL ITKANE",B390)),ISNUMBER(SEARCH("ALITKANE",B390)),ISNUMBER(SEARCH("PRESTO",B390))),NOT(OR(ISNUMBER(SEARCH("Thé",B390)),ISNUMBER(SEARCH("THE ",B390)),ISNUMBER(SEARCH("thé",B390)),ISNUMBER(SEARCH("SELHAM",B390)),ISNUMBER(SEARCH("LHAFLA",B390)),ISNUMBER(SEARCH("ZINE",B390)),ISNUMBER(SEARCH("tiyay",B390)),ISNUMBER(SEARCH("alouns",B390)),ISNUMBER(SEARCH("lmhrat",B390))))),"Al Itkrans + Presto",IF(OR(ISNUMBER(SEARCH("DALAA",B390)),ISNUMBER(SEARCH("CS-DALAA",B390)),ISNUMBER(SEARCH("DALINA",B390))),"Dalaa VP / Baqqal / RP",IF(OR(LEFT(UPPER(B390),4)="MIA ",LEFT(UPPER(B390),6)="CS-MIA"),"Mia",IF(OR(LEFT(UPPER(B390),5)="NOVA ",LEFT(UPPER(B390),7)="CS-NOVA"),"Nova",IF(OR(ISNUMBER(SEARCH("PRIMA ",B390)),ISNUMBER(SEARCH("CS-PRIMA",B390))),"Prima",IF(OR(ISNUMBER(SEARCH("Douceur",B390)),ISNUMBER(SEARCH("DOUCEUR",B390))),"Douceur",IF(OR(ISNUMBER(SEARCH("SANGO",B390)),ISNUMBER(SEARCH("CS-SANGO",B390))),"SANGO",IF(ISNUMBER(SEARCH("BLANDOUX",B390)),"Blandoux",IF(ISNUMBER(SEARCH("SHIWAMI",B390)),"Shiwame",IF(ISNUMBER(SEARCH("KELLOGG",B390)),"Kelloggs",IF(OR(ISNUMBER(SEARCH("TOBIGO",B390)),ISNUMBER(SEARCH("DWIST",B390))),"Tobigo",IF(OR(ISNUMBER(SEARCH("MARISOL",B390)),ISNUMBER(SEARCH("MARESOL",B390))),"Maresol",IF(OR(ISNUMBER(SEARCH("TAKIS",B390)),ISNUMBER(SEARCH("TAKYS",B390))),"TAKYS",IF(ISNUMBER(SEARCH("TAWIL",B390)),"Tawil",IF(ISNUMBER(SEARCH("FROMY",B390)),"Fromy",""))))))))))))))))))))))))</f>
        <v>Al Itkrans + Presto</v>
      </c>
    </row>
    <row r="391" spans="1:3" ht="18" hidden="1" customHeight="1" x14ac:dyDescent="0.3">
      <c r="A391" s="2" t="str">
        <f>[1]Products!A3254</f>
        <v>CF33000</v>
      </c>
      <c r="B391" s="2" t="str">
        <f>[1]Products!B3254</f>
        <v>Couscous Moyen 1KG Alitkane 15*1KG</v>
      </c>
      <c r="C391" s="2" t="str">
        <f t="shared" si="7"/>
        <v>Al Itkrans + Presto</v>
      </c>
    </row>
    <row r="392" spans="1:3" ht="18" hidden="1" customHeight="1" x14ac:dyDescent="0.3">
      <c r="A392" s="2" t="str">
        <f>[1]Products!A3255</f>
        <v>CF33002</v>
      </c>
      <c r="B392" s="2" t="str">
        <f>[1]Products!B3255</f>
        <v>Couscous Moyen 500G Alitkane</v>
      </c>
      <c r="C392" s="2" t="str">
        <f t="shared" si="7"/>
        <v>Al Itkrans + Presto</v>
      </c>
    </row>
    <row r="393" spans="1:3" ht="18" hidden="1" customHeight="1" x14ac:dyDescent="0.3">
      <c r="A393" s="2" t="str">
        <f>[1]Products!A3256</f>
        <v>CF33003</v>
      </c>
      <c r="B393" s="2" t="str">
        <f>[1]Products!B3256</f>
        <v>Couscous Fin 1KG Alitkane</v>
      </c>
      <c r="C393" s="2" t="str">
        <f t="shared" si="7"/>
        <v>Al Itkrans + Presto</v>
      </c>
    </row>
    <row r="394" spans="1:3" ht="18" hidden="1" customHeight="1" x14ac:dyDescent="0.3">
      <c r="A394" s="2" t="str">
        <f>[1]Products!A3257</f>
        <v>CF33005</v>
      </c>
      <c r="B394" s="2" t="str">
        <f>[1]Products!B3257</f>
        <v>Couscous Fin 500G Alitkane</v>
      </c>
      <c r="C394" s="2" t="str">
        <f t="shared" si="7"/>
        <v>Al Itkrans + Presto</v>
      </c>
    </row>
    <row r="395" spans="1:3" ht="18" hidden="1" customHeight="1" x14ac:dyDescent="0.3">
      <c r="A395" s="2" t="str">
        <f>[1]Products!A3258</f>
        <v>CF33006</v>
      </c>
      <c r="B395" s="2" t="str">
        <f>[1]Products!B3258</f>
        <v>Couscous Complet  1KG Alitkane</v>
      </c>
      <c r="C395" s="2" t="str">
        <f t="shared" si="7"/>
        <v>Al Itkrans + Presto</v>
      </c>
    </row>
    <row r="396" spans="1:3" ht="18" hidden="1" customHeight="1" x14ac:dyDescent="0.3">
      <c r="A396" s="2" t="str">
        <f>[1]Products!A3259</f>
        <v>CF33009</v>
      </c>
      <c r="B396" s="2" t="str">
        <f>[1]Products!B3259</f>
        <v>Couscous Moyen 25KG Alitkane</v>
      </c>
      <c r="C396" s="2" t="str">
        <f t="shared" si="7"/>
        <v>Al Itkrans + Presto</v>
      </c>
    </row>
    <row r="397" spans="1:3" ht="18" hidden="1" customHeight="1" x14ac:dyDescent="0.3">
      <c r="A397" s="2" t="str">
        <f>[1]Products!A3260</f>
        <v>CF33010</v>
      </c>
      <c r="B397" s="2" t="str">
        <f>[1]Products!B3260</f>
        <v>Couscous Moyen10KG Alitkane</v>
      </c>
      <c r="C397" s="2" t="str">
        <f t="shared" si="7"/>
        <v>Al Itkrans + Presto</v>
      </c>
    </row>
    <row r="398" spans="1:3" ht="18" hidden="1" customHeight="1" x14ac:dyDescent="0.3">
      <c r="A398" s="2" t="str">
        <f>[1]Products!A3261</f>
        <v>CF33011</v>
      </c>
      <c r="B398" s="2" t="str">
        <f>[1]Products!B3261</f>
        <v>Couscous Fin 10KG Alitkane</v>
      </c>
      <c r="C398" s="2" t="str">
        <f t="shared" si="7"/>
        <v>Al Itkrans + Presto</v>
      </c>
    </row>
    <row r="399" spans="1:3" ht="18" hidden="1" customHeight="1" x14ac:dyDescent="0.3">
      <c r="A399" s="2" t="str">
        <f>[1]Products!A3262</f>
        <v>CF33013</v>
      </c>
      <c r="B399" s="2" t="str">
        <f>[1]Products!B3262</f>
        <v>Couscous Fin 25KG Alitkane</v>
      </c>
      <c r="C399" s="2" t="str">
        <f t="shared" si="7"/>
        <v>Al Itkrans + Presto</v>
      </c>
    </row>
    <row r="400" spans="1:3" ht="18" hidden="1" customHeight="1" x14ac:dyDescent="0.3">
      <c r="A400" s="2" t="str">
        <f>[1]Products!A3263</f>
        <v>CF33014</v>
      </c>
      <c r="B400" s="2" t="str">
        <f>[1]Products!B3263</f>
        <v>Cheveux D'Ange 500G Alitkane</v>
      </c>
      <c r="C400" s="2" t="str">
        <f t="shared" si="7"/>
        <v>Al Itkrans + Presto</v>
      </c>
    </row>
    <row r="401" spans="1:3" ht="18" hidden="1" customHeight="1" x14ac:dyDescent="0.3">
      <c r="A401" s="2" t="str">
        <f>[1]Products!A3264</f>
        <v>CF33015</v>
      </c>
      <c r="B401" s="2" t="str">
        <f>[1]Products!B3264</f>
        <v>Coquillette 500G Alitkane</v>
      </c>
      <c r="C401" s="2" t="str">
        <f t="shared" si="7"/>
        <v>Al Itkrans + Presto</v>
      </c>
    </row>
    <row r="402" spans="1:3" ht="18" hidden="1" customHeight="1" x14ac:dyDescent="0.3">
      <c r="A402" s="2" t="str">
        <f>[1]Products!A3265</f>
        <v>CF33016</v>
      </c>
      <c r="B402" s="2" t="str">
        <f>[1]Products!B3265</f>
        <v>Coude 500G Alitkane</v>
      </c>
      <c r="C402" s="2" t="str">
        <f t="shared" si="7"/>
        <v>Al Itkrans + Presto</v>
      </c>
    </row>
    <row r="403" spans="1:3" ht="18" hidden="1" customHeight="1" x14ac:dyDescent="0.3">
      <c r="A403" s="2" t="str">
        <f>[1]Products!A3266</f>
        <v>CF33021</v>
      </c>
      <c r="B403" s="2" t="str">
        <f>[1]Products!B3266</f>
        <v>P. Plomb 500G Alitkane</v>
      </c>
      <c r="C403" s="2" t="str">
        <f t="shared" si="7"/>
        <v>Al Itkrans + Presto</v>
      </c>
    </row>
    <row r="404" spans="1:3" ht="18" hidden="1" customHeight="1" x14ac:dyDescent="0.3">
      <c r="A404" s="2" t="str">
        <f>[1]Products!A3271</f>
        <v>CF33022</v>
      </c>
      <c r="B404" s="2" t="str">
        <f>[1]Products!B3271</f>
        <v>Langues D'Oiseaux 500G Alitkane</v>
      </c>
      <c r="C404" s="2" t="str">
        <f t="shared" si="7"/>
        <v>Al Itkrans + Presto</v>
      </c>
    </row>
    <row r="405" spans="1:3" ht="18" hidden="1" customHeight="1" x14ac:dyDescent="0.3">
      <c r="A405" s="2" t="str">
        <f>[1]Products!A3273</f>
        <v>CF33023</v>
      </c>
      <c r="B405" s="2" t="str">
        <f>[1]Products!B3273</f>
        <v>Etoiles 500G Alitkane</v>
      </c>
      <c r="C405" s="2" t="str">
        <f t="shared" si="7"/>
        <v>Al Itkrans + Presto</v>
      </c>
    </row>
    <row r="406" spans="1:3" ht="18" hidden="1" customHeight="1" x14ac:dyDescent="0.3">
      <c r="A406" s="2" t="str">
        <f>[1]Products!A3274</f>
        <v>CF33024</v>
      </c>
      <c r="B406" s="2" t="str">
        <f>[1]Products!B3274</f>
        <v>Cheveux D'Ange 5KG Alitkane</v>
      </c>
      <c r="C406" s="2" t="str">
        <f t="shared" si="7"/>
        <v>Al Itkrans + Presto</v>
      </c>
    </row>
    <row r="407" spans="1:3" ht="18" hidden="1" customHeight="1" x14ac:dyDescent="0.3">
      <c r="A407" s="2" t="str">
        <f>[1]Products!A3275</f>
        <v>CF33025</v>
      </c>
      <c r="B407" s="2" t="str">
        <f>[1]Products!B3275</f>
        <v>Cheveux D'Ange Lam 10 KG Alitkane</v>
      </c>
      <c r="C407" s="2" t="str">
        <f t="shared" si="7"/>
        <v>Al Itkrans + Presto</v>
      </c>
    </row>
    <row r="408" spans="1:3" ht="18" hidden="1" customHeight="1" x14ac:dyDescent="0.3">
      <c r="A408" s="2" t="str">
        <f>[1]Products!A3276</f>
        <v>CF33026</v>
      </c>
      <c r="B408" s="2" t="str">
        <f>[1]Products!B3276</f>
        <v>Cheveux D'Ange Ct 10 KG Alitkane</v>
      </c>
      <c r="C408" s="2" t="str">
        <f t="shared" si="7"/>
        <v>Al Itkrans + Presto</v>
      </c>
    </row>
    <row r="409" spans="1:3" ht="18" hidden="1" customHeight="1" x14ac:dyDescent="0.3">
      <c r="A409" s="2" t="str">
        <f>[1]Products!A3277</f>
        <v>CF33027</v>
      </c>
      <c r="B409" s="2" t="str">
        <f>[1]Products!B3277</f>
        <v>Cheveux D'Ange Extra Fin 10 KG Alitkane</v>
      </c>
      <c r="C409" s="2" t="str">
        <f t="shared" si="7"/>
        <v>Al Itkrans + Presto</v>
      </c>
    </row>
    <row r="410" spans="1:3" ht="18" hidden="1" customHeight="1" x14ac:dyDescent="0.3">
      <c r="A410" s="2" t="str">
        <f>[1]Products!A3278</f>
        <v>CF33028</v>
      </c>
      <c r="B410" s="2" t="str">
        <f>[1]Products!B3278</f>
        <v>Coude 10 KG Alitkane</v>
      </c>
      <c r="C410" s="2" t="str">
        <f t="shared" si="7"/>
        <v>Al Itkrans + Presto</v>
      </c>
    </row>
    <row r="411" spans="1:3" ht="18" hidden="1" customHeight="1" x14ac:dyDescent="0.3">
      <c r="A411" s="2" t="str">
        <f>[1]Products!A3279</f>
        <v>CF33029</v>
      </c>
      <c r="B411" s="2" t="str">
        <f>[1]Products!B3279</f>
        <v>Coquillette 10 KG Alitkane</v>
      </c>
      <c r="C411" s="2" t="str">
        <f t="shared" si="7"/>
        <v>Al Itkrans + Presto</v>
      </c>
    </row>
    <row r="412" spans="1:3" ht="18" hidden="1" customHeight="1" x14ac:dyDescent="0.3">
      <c r="A412" s="2" t="str">
        <f>[1]Products!A3384</f>
        <v>CF33030</v>
      </c>
      <c r="B412" s="2" t="str">
        <f>[1]Products!B3384</f>
        <v>Torsade 10 KG Alitkane</v>
      </c>
      <c r="C412" s="2" t="str">
        <f t="shared" si="7"/>
        <v>Al Itkrans + Presto</v>
      </c>
    </row>
    <row r="413" spans="1:3" ht="18" hidden="1" customHeight="1" x14ac:dyDescent="0.3">
      <c r="A413" s="2" t="str">
        <f>[1]Products!A3385</f>
        <v>CF33031</v>
      </c>
      <c r="B413" s="2" t="str">
        <f>[1]Products!B3385</f>
        <v>Vermicelle Moyen 10 KG Alitkane</v>
      </c>
      <c r="C413" s="2" t="str">
        <f t="shared" si="7"/>
        <v>Al Itkrans + Presto</v>
      </c>
    </row>
    <row r="414" spans="1:3" ht="18" hidden="1" customHeight="1" x14ac:dyDescent="0.3">
      <c r="A414" s="2" t="str">
        <f>[1]Products!A3386</f>
        <v>CF33032</v>
      </c>
      <c r="B414" s="2" t="str">
        <f>[1]Products!B3386</f>
        <v>Vermicelle Gros 10 KG Alitkane</v>
      </c>
      <c r="C414" s="2" t="str">
        <f t="shared" si="7"/>
        <v>Al Itkrans + Presto</v>
      </c>
    </row>
    <row r="415" spans="1:3" ht="18" hidden="1" customHeight="1" x14ac:dyDescent="0.3">
      <c r="A415" s="2" t="str">
        <f>[1]Products!A3387</f>
        <v>CF33033</v>
      </c>
      <c r="B415" s="2" t="str">
        <f>[1]Products!B3387</f>
        <v>P. Plomb 10 KG Alitkane</v>
      </c>
      <c r="C415" s="2" t="str">
        <f t="shared" si="7"/>
        <v>Al Itkrans + Presto</v>
      </c>
    </row>
    <row r="416" spans="1:3" ht="18" hidden="1" customHeight="1" x14ac:dyDescent="0.3">
      <c r="A416" s="2" t="str">
        <f>[1]Products!A3395</f>
        <v>CF33034</v>
      </c>
      <c r="B416" s="2" t="str">
        <f>[1]Products!B3395</f>
        <v>Langues D'Oiseaux 10 KG Alitkane</v>
      </c>
      <c r="C416" s="2" t="str">
        <f t="shared" si="7"/>
        <v>Al Itkrans + Presto</v>
      </c>
    </row>
    <row r="417" spans="1:3" ht="18" hidden="1" customHeight="1" x14ac:dyDescent="0.3">
      <c r="A417" s="2" t="str">
        <f>[1]Products!A3396</f>
        <v>CF33035</v>
      </c>
      <c r="B417" s="2" t="str">
        <f>[1]Products!B3396</f>
        <v>Etoiles 10 KG Alitkane</v>
      </c>
      <c r="C417" s="2" t="str">
        <f t="shared" si="7"/>
        <v>Al Itkrans + Presto</v>
      </c>
    </row>
    <row r="418" spans="1:3" ht="18" hidden="1" customHeight="1" x14ac:dyDescent="0.3">
      <c r="A418" s="2" t="str">
        <f>[1]Products!A3447</f>
        <v>CF33063</v>
      </c>
      <c r="B418" s="2" t="str">
        <f>[1]Products!B3447</f>
        <v>penne 500g alitkane</v>
      </c>
      <c r="C418" s="2" t="str">
        <f t="shared" si="7"/>
        <v>Al Itkrans + Presto</v>
      </c>
    </row>
    <row r="419" spans="1:3" ht="18" hidden="1" customHeight="1" x14ac:dyDescent="0.3">
      <c r="A419" s="2" t="str">
        <f>[1]Products!A3586</f>
        <v>CF33071</v>
      </c>
      <c r="B419" s="2" t="str">
        <f>[1]Products!B3586</f>
        <v>vermicelle fin 10kg lamine alitkane</v>
      </c>
      <c r="C419" s="2" t="str">
        <f t="shared" si="7"/>
        <v>Al Itkrans + Presto</v>
      </c>
    </row>
    <row r="420" spans="1:3" ht="18" hidden="1" customHeight="1" x14ac:dyDescent="0.3">
      <c r="A420" s="2" t="str">
        <f>[1]Products!A3616</f>
        <v>CF33104</v>
      </c>
      <c r="B420" s="2" t="str">
        <f>[1]Products!B3616</f>
        <v>ALITKANE COUSCOUS FIN 5KG METALLISE</v>
      </c>
      <c r="C420" s="2" t="str">
        <f t="shared" si="7"/>
        <v>Al Itkrans + Presto</v>
      </c>
    </row>
    <row r="421" spans="1:3" ht="18" hidden="1" customHeight="1" x14ac:dyDescent="0.3">
      <c r="A421" s="2" t="str">
        <f>[1]Products!A3618</f>
        <v>CF33072</v>
      </c>
      <c r="B421" s="2" t="str">
        <f>[1]Products!B3618</f>
        <v>SPAGHETTI ALITKANE 500G</v>
      </c>
      <c r="C421" s="2" t="str">
        <f t="shared" si="7"/>
        <v>Al Itkrans + Presto</v>
      </c>
    </row>
    <row r="422" spans="1:3" ht="18" hidden="1" customHeight="1" x14ac:dyDescent="0.3">
      <c r="A422" s="2" t="str">
        <f>[1]Products!A3621</f>
        <v>CF33075</v>
      </c>
      <c r="B422" s="2" t="str">
        <f>[1]Products!B3621</f>
        <v>Coquillage Alitkane 10kg</v>
      </c>
      <c r="C422" s="2" t="str">
        <f t="shared" si="7"/>
        <v>Al Itkrans + Presto</v>
      </c>
    </row>
    <row r="423" spans="1:3" ht="18" hidden="1" customHeight="1" x14ac:dyDescent="0.3">
      <c r="A423" s="2" t="str">
        <f>[1]Products!A3626</f>
        <v>CF33076</v>
      </c>
      <c r="B423" s="2" t="str">
        <f>[1]Products!B3626</f>
        <v>Regatoni Alitkane 10kg</v>
      </c>
      <c r="C423" s="2" t="str">
        <f t="shared" si="7"/>
        <v>Al Itkrans + Presto</v>
      </c>
    </row>
    <row r="424" spans="1:3" ht="18" hidden="1" customHeight="1" x14ac:dyDescent="0.3">
      <c r="A424" s="2" t="str">
        <f>[1]Products!A3629</f>
        <v>CF33079</v>
      </c>
      <c r="B424" s="2" t="str">
        <f>[1]Products!B3629</f>
        <v>SPAGHETTI ALITKANE 250 G</v>
      </c>
      <c r="C424" s="2" t="str">
        <f t="shared" si="7"/>
        <v>Al Itkrans + Presto</v>
      </c>
    </row>
    <row r="425" spans="1:3" ht="18" hidden="1" customHeight="1" x14ac:dyDescent="0.3">
      <c r="A425" s="2" t="str">
        <f>[1]Products!A3630</f>
        <v>CF33081</v>
      </c>
      <c r="B425" s="2" t="str">
        <f>[1]Products!B3630</f>
        <v>COQUILLAGE ALITKANE 500G</v>
      </c>
      <c r="C425" s="2" t="str">
        <f t="shared" si="7"/>
        <v>Al Itkrans + Presto</v>
      </c>
    </row>
    <row r="426" spans="1:3" ht="18" hidden="1" customHeight="1" x14ac:dyDescent="0.3">
      <c r="A426" s="2" t="str">
        <f>[1]Products!A3635</f>
        <v>CF33082</v>
      </c>
      <c r="B426" s="2" t="str">
        <f>[1]Products!B3635</f>
        <v>RÉGATONI  ALITKANE 500G</v>
      </c>
      <c r="C426" s="2" t="str">
        <f t="shared" si="7"/>
        <v>Al Itkrans + Presto</v>
      </c>
    </row>
    <row r="427" spans="1:3" ht="18" hidden="1" customHeight="1" x14ac:dyDescent="0.3">
      <c r="A427" s="2" t="str">
        <f>[1]Products!A3636</f>
        <v>CF33083</v>
      </c>
      <c r="B427" s="2" t="str">
        <f>[1]Products!B3636</f>
        <v>VERMICELLE MOYEN ALITKANE 5 KG</v>
      </c>
      <c r="C427" s="2" t="str">
        <f t="shared" si="7"/>
        <v>Al Itkrans + Presto</v>
      </c>
    </row>
    <row r="428" spans="1:3" ht="18" hidden="1" customHeight="1" x14ac:dyDescent="0.3">
      <c r="A428" s="2" t="str">
        <f>[1]Products!A3637</f>
        <v>CF33084</v>
      </c>
      <c r="B428" s="2" t="str">
        <f>[1]Products!B3637</f>
        <v>LANGUE D’OISEAU ALITKANE 5 KG</v>
      </c>
      <c r="C428" s="2" t="str">
        <f t="shared" si="7"/>
        <v>Al Itkrans + Presto</v>
      </c>
    </row>
    <row r="429" spans="1:3" ht="18" hidden="1" customHeight="1" x14ac:dyDescent="0.3">
      <c r="A429" s="2" t="str">
        <f>[1]Products!A3638</f>
        <v>CF33086</v>
      </c>
      <c r="B429" s="2" t="str">
        <f>[1]Products!B3638</f>
        <v>PETIT PLOMB ALITKANE 5 KG</v>
      </c>
      <c r="C429" s="2" t="str">
        <f t="shared" si="7"/>
        <v>Al Itkrans + Presto</v>
      </c>
    </row>
    <row r="430" spans="1:3" ht="18" hidden="1" customHeight="1" x14ac:dyDescent="0.3">
      <c r="A430" s="2" t="str">
        <f>[1]Products!A3639</f>
        <v>CF33092</v>
      </c>
      <c r="B430" s="2" t="str">
        <f>[1]Products!B3639</f>
        <v>COUSCOUS D’ORGE 15*1KG ALITKANE</v>
      </c>
      <c r="C430" s="2" t="str">
        <f t="shared" si="7"/>
        <v>Al Itkrans + Presto</v>
      </c>
    </row>
    <row r="431" spans="1:3" ht="18" hidden="1" customHeight="1" x14ac:dyDescent="0.3">
      <c r="A431" s="2" t="str">
        <f>[1]Products!A3641</f>
        <v>CF33097</v>
      </c>
      <c r="B431" s="2" t="str">
        <f>[1]Products!B3641</f>
        <v>NUMEROS ET ALPHABETS ALITKANE 400g</v>
      </c>
      <c r="C431" s="2" t="str">
        <f t="shared" si="7"/>
        <v>Al Itkrans + Presto</v>
      </c>
    </row>
    <row r="432" spans="1:3" ht="18" hidden="1" customHeight="1" x14ac:dyDescent="0.3">
      <c r="A432" s="2" t="str">
        <f>[1]Products!A3642</f>
        <v>CF33098</v>
      </c>
      <c r="B432" s="2" t="str">
        <f>[1]Products!B3642</f>
        <v>Papillon ALITKANE 400g</v>
      </c>
      <c r="C432" s="2" t="str">
        <f t="shared" si="7"/>
        <v>Al Itkrans + Presto</v>
      </c>
    </row>
    <row r="433" spans="1:3" ht="18" hidden="1" customHeight="1" x14ac:dyDescent="0.3">
      <c r="A433" s="2" t="str">
        <f>[1]Products!A3643</f>
        <v>CF33099</v>
      </c>
      <c r="B433" s="2" t="str">
        <f>[1]Products!B3643</f>
        <v>Animals ALITKANE 400g</v>
      </c>
      <c r="C433" s="2" t="str">
        <f t="shared" si="7"/>
        <v>Al Itkrans + Presto</v>
      </c>
    </row>
    <row r="434" spans="1:3" ht="18" hidden="1" customHeight="1" x14ac:dyDescent="0.3">
      <c r="A434" s="2" t="str">
        <f>[1]Products!A3644</f>
        <v>CF33102</v>
      </c>
      <c r="B434" s="2" t="str">
        <f>[1]Products!B3644</f>
        <v>VERMICELLE FIN ALITKANE 5 KG</v>
      </c>
      <c r="C434" s="2" t="str">
        <f t="shared" si="7"/>
        <v>Al Itkrans + Presto</v>
      </c>
    </row>
    <row r="435" spans="1:3" ht="18" hidden="1" customHeight="1" x14ac:dyDescent="0.3">
      <c r="A435" s="2" t="str">
        <f>[1]Products!A3645</f>
        <v>CF33105</v>
      </c>
      <c r="B435" s="2" t="str">
        <f>[1]Products!B3645</f>
        <v>ALITKANE COUSCOUS MOY 5KG METALLISE</v>
      </c>
      <c r="C435" s="2" t="str">
        <f t="shared" si="7"/>
        <v>Al Itkrans + Presto</v>
      </c>
    </row>
    <row r="436" spans="1:3" ht="18" hidden="1" customHeight="1" x14ac:dyDescent="0.3">
      <c r="A436" s="2" t="str">
        <f>[1]Products!A3646</f>
        <v>CF33115</v>
      </c>
      <c r="B436" s="2" t="str">
        <f>[1]Products!B3646</f>
        <v>ALITKANE TORSADE COMPLET 12*500G OPP</v>
      </c>
      <c r="C436" s="2" t="str">
        <f t="shared" si="7"/>
        <v>Al Itkrans + Presto</v>
      </c>
    </row>
    <row r="437" spans="1:3" ht="18" hidden="1" customHeight="1" x14ac:dyDescent="0.3">
      <c r="A437" s="2" t="str">
        <f>[1]Products!A3647</f>
        <v>CF33116</v>
      </c>
      <c r="B437" s="2" t="str">
        <f>[1]Products!B3647</f>
        <v>ALITKANE PENNE COMPLET 12*500G OPP</v>
      </c>
      <c r="C437" s="2" t="str">
        <f t="shared" si="7"/>
        <v>Al Itkrans + Presto</v>
      </c>
    </row>
    <row r="438" spans="1:3" ht="18" hidden="1" customHeight="1" x14ac:dyDescent="0.3">
      <c r="A438" s="2" t="str">
        <f>[1]Products!A3701</f>
        <v>CF33117</v>
      </c>
      <c r="B438" s="2" t="str">
        <f>[1]Products!B3701</f>
        <v>ALITKANE DITALINI  15*400G OPP</v>
      </c>
      <c r="C438" s="2" t="str">
        <f t="shared" si="7"/>
        <v>Al Itkrans + Presto</v>
      </c>
    </row>
    <row r="439" spans="1:3" ht="18" hidden="1" customHeight="1" x14ac:dyDescent="0.3">
      <c r="A439" s="2" t="str">
        <f>[1]Products!A3702</f>
        <v>CF33125</v>
      </c>
      <c r="B439" s="2" t="str">
        <f>[1]Products!B3702</f>
        <v>ALITKANE LINGUINE 500G OPP</v>
      </c>
      <c r="C439" s="2" t="str">
        <f t="shared" si="7"/>
        <v>Al Itkrans + Presto</v>
      </c>
    </row>
    <row r="440" spans="1:3" ht="18" hidden="1" customHeight="1" x14ac:dyDescent="0.3">
      <c r="A440" s="2" t="str">
        <f>[1]Products!A3704</f>
        <v>CF33137</v>
      </c>
      <c r="B440" s="2" t="str">
        <f>[1]Products!B3704</f>
        <v>ALITKANE CHEVEUX D'ANGE EXTRA FIN 1KG</v>
      </c>
      <c r="C440" s="2" t="str">
        <f t="shared" si="7"/>
        <v>Al Itkrans + Presto</v>
      </c>
    </row>
    <row r="441" spans="1:3" ht="18" hidden="1" customHeight="1" x14ac:dyDescent="0.3">
      <c r="A441" s="2" t="str">
        <f>[1]Products!A4032</f>
        <v>CF33319</v>
      </c>
      <c r="B441" s="2" t="str">
        <f>[1]Products!B4032</f>
        <v>ALITKANE COUSCOUS 5 CEREALES 1Kg</v>
      </c>
      <c r="C441" s="2" t="str">
        <f t="shared" si="7"/>
        <v>Al Itkrans + Presto</v>
      </c>
    </row>
    <row r="442" spans="1:3" ht="18" hidden="1" customHeight="1" x14ac:dyDescent="0.3">
      <c r="A442" s="2" t="str">
        <f>[1]Products!A4111</f>
        <v>CF400978</v>
      </c>
      <c r="B442" s="2" t="str">
        <f>[1]Products!B4111</f>
        <v>RIZ LONG PRESTO 1KG</v>
      </c>
      <c r="C442" s="2" t="str">
        <f t="shared" si="7"/>
        <v>Al Itkrans + Presto</v>
      </c>
    </row>
    <row r="443" spans="1:3" ht="18" hidden="1" customHeight="1" x14ac:dyDescent="0.3">
      <c r="A443" s="2" t="str">
        <f>[1]Products!A4112</f>
        <v>CF400980</v>
      </c>
      <c r="B443" s="2" t="str">
        <f>[1]Products!B4112</f>
        <v>RIZ MEDIUM PRESTO 1KG</v>
      </c>
      <c r="C443" s="2" t="str">
        <f t="shared" si="7"/>
        <v>Al Itkrans + Presto</v>
      </c>
    </row>
    <row r="444" spans="1:3" ht="18" hidden="1" customHeight="1" x14ac:dyDescent="0.3">
      <c r="A444" s="2" t="str">
        <f>[1]Products!A4113</f>
        <v>CF401649</v>
      </c>
      <c r="B444" s="2" t="str">
        <f>[1]Products!B4113</f>
        <v>RIZ ROND PRESTO 01KG</v>
      </c>
      <c r="C444" s="2" t="str">
        <f t="shared" si="7"/>
        <v>Al Itkrans + Presto</v>
      </c>
    </row>
    <row r="445" spans="1:3" ht="18" hidden="1" customHeight="1" x14ac:dyDescent="0.3">
      <c r="A445" s="2" t="str">
        <f>[1]Products!A4114</f>
        <v>CF401651</v>
      </c>
      <c r="B445" s="2" t="str">
        <f>[1]Products!B4114</f>
        <v>RIZ ETUVE PRESTO 1KG</v>
      </c>
      <c r="C445" s="2" t="str">
        <f t="shared" si="7"/>
        <v>Al Itkrans + Presto</v>
      </c>
    </row>
    <row r="446" spans="1:3" ht="18" hidden="1" customHeight="1" x14ac:dyDescent="0.3">
      <c r="A446" s="2" t="str">
        <f>[1]Products!A4117</f>
        <v>CF33080</v>
      </c>
      <c r="B446" s="2" t="str">
        <f>[1]Products!B4117</f>
        <v>NUMÉROS ET ALPHABETS ALITKANE 10KG</v>
      </c>
      <c r="C446" s="2" t="str">
        <f t="shared" si="7"/>
        <v>Al Itkrans + Presto</v>
      </c>
    </row>
    <row r="447" spans="1:3" ht="18" hidden="1" customHeight="1" x14ac:dyDescent="0.3">
      <c r="A447" s="2" t="str">
        <f>[1]Products!A4118</f>
        <v>CF33112</v>
      </c>
      <c r="B447" s="2" t="str">
        <f>[1]Products!B4118</f>
        <v>ALITKANE COUSCOUS MOY 750G CAISSE 16 UN</v>
      </c>
      <c r="C447" s="2" t="str">
        <f t="shared" si="7"/>
        <v>Al Itkrans + Presto</v>
      </c>
    </row>
    <row r="448" spans="1:3" ht="18" hidden="1" customHeight="1" x14ac:dyDescent="0.3">
      <c r="A448" s="2" t="str">
        <f>[1]Products!A4130</f>
        <v>CF401650</v>
      </c>
      <c r="B448" s="2" t="str">
        <f>[1]Products!B4130</f>
        <v>RIZ ETUVE PRESTO 5KG</v>
      </c>
      <c r="C448" s="2" t="str">
        <f t="shared" si="7"/>
        <v>Al Itkrans + Presto</v>
      </c>
    </row>
    <row r="449" spans="1:3" ht="18" hidden="1" customHeight="1" x14ac:dyDescent="0.3">
      <c r="A449" s="2" t="str">
        <f>[1]Products!A4131</f>
        <v>CF401648</v>
      </c>
      <c r="B449" s="2" t="str">
        <f>[1]Products!B4131</f>
        <v>RIZ ROND PRESTO 5KG</v>
      </c>
      <c r="C449" s="2" t="str">
        <f t="shared" si="7"/>
        <v>Al Itkrans + Presto</v>
      </c>
    </row>
    <row r="450" spans="1:3" ht="18" hidden="1" customHeight="1" x14ac:dyDescent="0.3">
      <c r="A450" s="2" t="str">
        <f>[1]Products!A4132</f>
        <v>CF400981</v>
      </c>
      <c r="B450" s="2" t="str">
        <f>[1]Products!B4132</f>
        <v>RIZ MEDIUM PRESTO 5KG</v>
      </c>
      <c r="C450" s="2" t="str">
        <f t="shared" si="7"/>
        <v>Al Itkrans + Presto</v>
      </c>
    </row>
    <row r="451" spans="1:3" ht="18" hidden="1" customHeight="1" x14ac:dyDescent="0.3">
      <c r="A451" s="2" t="str">
        <f>[1]Products!A4133</f>
        <v>CF400979</v>
      </c>
      <c r="B451" s="2" t="str">
        <f>[1]Products!B4133</f>
        <v>RIZ  LONG PRESTO 5KG</v>
      </c>
      <c r="C451" s="2" t="str">
        <f t="shared" si="7"/>
        <v>Al Itkrans + Presto</v>
      </c>
    </row>
    <row r="452" spans="1:3" ht="18" hidden="1" customHeight="1" x14ac:dyDescent="0.3">
      <c r="A452" s="2" t="str">
        <f>[1]Products!A4182</f>
        <v>CF33067</v>
      </c>
      <c r="B452" s="2" t="str">
        <f>[1]Products!B4182</f>
        <v>Couscous Fin 1KG Alitkane 12*1KG</v>
      </c>
      <c r="C452" s="2" t="str">
        <f t="shared" si="7"/>
        <v>Al Itkrans + Presto</v>
      </c>
    </row>
    <row r="453" spans="1:3" ht="18" hidden="1" customHeight="1" x14ac:dyDescent="0.3">
      <c r="A453" s="2" t="str">
        <f>[1]Products!A4056</f>
        <v>CF34000</v>
      </c>
      <c r="B453" s="2" t="str">
        <f>[1]Products!B4056</f>
        <v>Thé 100G 10016 alitkane</v>
      </c>
      <c r="C453" s="2" t="s">
        <v>1</v>
      </c>
    </row>
    <row r="454" spans="1:3" ht="18" hidden="1" customHeight="1" x14ac:dyDescent="0.3">
      <c r="A454" s="2" t="str">
        <f>[1]Products!A4057</f>
        <v>CF34001</v>
      </c>
      <c r="B454" s="2" t="str">
        <f>[1]Products!B4057</f>
        <v>Thé 200G 10016 alitkane</v>
      </c>
      <c r="C454" s="2" t="s">
        <v>1</v>
      </c>
    </row>
    <row r="455" spans="1:3" ht="18" hidden="1" customHeight="1" x14ac:dyDescent="0.3">
      <c r="A455" s="2" t="str">
        <f>[1]Products!A4058</f>
        <v>CF34002</v>
      </c>
      <c r="B455" s="2" t="str">
        <f>[1]Products!B4058</f>
        <v>Thé 500G 10016 alitkane</v>
      </c>
      <c r="C455" s="2" t="s">
        <v>1</v>
      </c>
    </row>
    <row r="456" spans="1:3" ht="18" hidden="1" customHeight="1" x14ac:dyDescent="0.3">
      <c r="A456" s="2" t="str">
        <f>[1]Products!A4059</f>
        <v>CF34006</v>
      </c>
      <c r="B456" s="2" t="str">
        <f>[1]Products!B4059</f>
        <v>Thé 200G 9371 alitkane</v>
      </c>
      <c r="C456" s="2" t="s">
        <v>1</v>
      </c>
    </row>
    <row r="457" spans="1:3" ht="18" hidden="1" customHeight="1" x14ac:dyDescent="0.3">
      <c r="A457" s="2" t="str">
        <f>[1]Products!A4060</f>
        <v>CF34007</v>
      </c>
      <c r="B457" s="2" t="str">
        <f>[1]Products!B4060</f>
        <v>Thé 500G 9371 alitkane</v>
      </c>
      <c r="C457" s="2" t="s">
        <v>1</v>
      </c>
    </row>
    <row r="458" spans="1:3" ht="18" hidden="1" customHeight="1" x14ac:dyDescent="0.3">
      <c r="A458" s="2" t="str">
        <f>[1]Products!A4061</f>
        <v>CF34008</v>
      </c>
      <c r="B458" s="2" t="str">
        <f>[1]Products!B4061</f>
        <v>Thé 1 KG 9371 alitkane</v>
      </c>
      <c r="C458" s="2" t="s">
        <v>1</v>
      </c>
    </row>
    <row r="459" spans="1:3" ht="18" hidden="1" customHeight="1" x14ac:dyDescent="0.3">
      <c r="A459" s="2" t="str">
        <f>[1]Products!A4062</f>
        <v>CF34009</v>
      </c>
      <c r="B459" s="2" t="str">
        <f>[1]Products!B4062</f>
        <v>Thé 2 KG 9371 alitkane</v>
      </c>
      <c r="C459" s="2" t="s">
        <v>1</v>
      </c>
    </row>
    <row r="460" spans="1:3" ht="18" hidden="1" customHeight="1" x14ac:dyDescent="0.3">
      <c r="A460" s="2">
        <f>[1]Products!A4205</f>
        <v>0</v>
      </c>
      <c r="B460" s="2">
        <f>[1]Products!B4205</f>
        <v>0</v>
      </c>
      <c r="C460" s="2" t="str">
        <f t="shared" ref="C460" si="8">IF(OR(ISNUMBER(SEARCH("SELHAM",B460)),ISNUMBER(SEARCH("LHAFLA",B460)),ISNUMBER(SEARCH("ZINE",B460)),ISNUMBER(SEARCH("tiyay",B460)),ISNUMBER(SEARCH("alouns",B460)),ISNUMBER(SEARCH("lmhrat",B460))),"The Al Itkane",IF(AND(ISNUMBER(SEARCH("CALIN",B460)),ISNUMBER(SEARCH("RP",B460)),NOT(ISNUMBER(SEARCH("VP",B460)))),"Calin RP",IF(AND(ISNUMBER(SEARCH("CALIN",B460)),ISNUMBER(SEARCH("VP",B460))),"Calin VP",IF(AND(ISNUMBER(SEARCH("MIO",B460)),OR(ISNUMBER(SEARCH("Vaisselle",B460)),ISNUMBER(SEARCH("vaisselle",B460)))),"Mio Liquid Vaisselle",IF(AND(ISNUMBER(SEARCH("MIO",B460)),ISNUMBER(SEARCH("Javel",B460))),"Mio Javel",IF(AND(ISNUMBER(SEARCH("MIO",B460)),ISNUMBER(SEARCH("Matic",B460))),"Mio Matic",IF(AND(ISNUMBER(SEARCH("MIO",B460)),OR(ISNUMBER(SEARCH("Détérgent",B460)),ISNUMBER(SEARCH("Poudre",B460)),ISNUMBER(SEARCH("Semi Auto",B460)),ISNUMBER(SEARCH("1KG",B460)),ISNUMBER(SEARCH("500G",B460)),ISNUMBER(SEARCH("10KG",B460)),ISNUMBER(SEARCH("1.5K",B460)),ISNUMBER(SEARCH("215G",B460)),ISNUMBER(SEARCH("350G",B460)),ISNUMBER(SEARCH("90G",B460)),ISNUMBER(SEARCH("Gold",B460)),ISNUMBER(SEARCH("Citron",B460)),ISNUMBER(SEARCH("Rose",B460)),ISNUMBER(SEARCH("Lessive",B460))),NOT(OR(ISNUMBER(SEARCH("Vaisselle",B460)),ISNUMBER(SEARCH("Javel",B460)),ISNUMBER(SEARCH("Matic",B460)),ISNUMBER(SEARCH("Nettoyant",B460)),ISNUMBER(SEARCH("Pâte",B460)),ISNUMBER(SEARCH("Lave",B460)),ISNUMBER(SEARCH("Détartrant",B460))))),"Mio main (1k+500gr)",IF(AND(ISNUMBER(SEARCH("PAPILLON",B460)),OR(ISNUMBER(SEARCH("Papier",B460)),ISNUMBER(SEARCH("Hygiénique",B460)),ISNUMBER(SEARCH("HYGIÉNIQUE",B460))),NOT(OR(ISNUMBER(SEARCH("Lingette",B460)),ISNUMBER(SEARCH("Mouchoir",B460))))),"Papillon Papier",IF(OR(ISNUMBER(SEARCH("TAJ AL SAHAR",B460)),ISNUMBER(SEARCH("TAJ BLADI",B460)),ISNUMBER(SEARCH("TAJ BELADI",B460)),ISNUMBER(SEARCH("Tilal Assahra",B460)),ISNUMBER(SEARCH("Jawharat Asahra",B460))),"TAJ SAHARA",IF(AND(OR(ISNUMBER(SEARCH("AL ITKANE",B460)),ISNUMBER(SEARCH("ALITKANE",B460)),ISNUMBER(SEARCH("PRESTO",B460))),NOT(OR(ISNUMBER(SEARCH("Thé",B460)),ISNUMBER(SEARCH("THE ",B460)),ISNUMBER(SEARCH("thé",B460)),ISNUMBER(SEARCH("SELHAM",B460)),ISNUMBER(SEARCH("LHAFLA",B460)),ISNUMBER(SEARCH("ZINE",B460)),ISNUMBER(SEARCH("tiyay",B460)),ISNUMBER(SEARCH("alouns",B460)),ISNUMBER(SEARCH("lmhrat",B460))))),"Al Itkrans + Presto",IF(OR(ISNUMBER(SEARCH("DALAA",B460)),ISNUMBER(SEARCH("CS-DALAA",B460)),ISNUMBER(SEARCH("DALINA",B460))),"Dalaa VP / Baqqal / RP",IF(OR(LEFT(UPPER(B460),4)="MIA ",LEFT(UPPER(B460),6)="CS-MIA"),"Mia",IF(OR(LEFT(UPPER(B460),5)="NOVA ",LEFT(UPPER(B460),7)="CS-NOVA"),"Nova",IF(OR(ISNUMBER(SEARCH("PRIMA ",B460)),ISNUMBER(SEARCH("CS-PRIMA",B460))),"Prima",IF(OR(ISNUMBER(SEARCH("Douceur",B460)),ISNUMBER(SEARCH("DOUCEUR",B460))),"Douceur",IF(OR(ISNUMBER(SEARCH("SANGO",B460)),ISNUMBER(SEARCH("CS-SANGO",B460))),"SANGO",IF(ISNUMBER(SEARCH("BLANDOUX",B460)),"Blandoux",IF(ISNUMBER(SEARCH("SHIWAMI",B460)),"Shiwame",IF(ISNUMBER(SEARCH("KELLOGG",B460)),"Kelloggs",IF(OR(ISNUMBER(SEARCH("TOBIGO",B460)),ISNUMBER(SEARCH("DWIST",B460))),"Tobigo",IF(OR(ISNUMBER(SEARCH("MARISOL",B460)),ISNUMBER(SEARCH("MARESOL",B460))),"Maresol",IF(OR(ISNUMBER(SEARCH("TAKIS",B460)),ISNUMBER(SEARCH("TAKYS",B460))),"TAKYS",IF(ISNUMBER(SEARCH("TAWIL",B460)),"Tawil",IF(ISNUMBER(SEARCH("FROMY",B460)),"Fromy",""))))))))))))))))))))))))</f>
        <v/>
      </c>
    </row>
    <row r="461" spans="1:3" hidden="1" x14ac:dyDescent="0.3"/>
    <row r="462" spans="1:3" hidden="1" x14ac:dyDescent="0.3"/>
    <row r="463" spans="1:3" hidden="1" x14ac:dyDescent="0.3"/>
    <row r="464" spans="1:3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</sheetData>
  <autoFilter ref="A1:C4145" xr:uid="{0657D201-E0D1-4A21-8365-97823C152015}">
    <filterColumn colId="2">
      <filters>
        <filter val="Mio Mati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Famille-Produit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SAGUEM</dc:creator>
  <cp:lastModifiedBy>Kamal SAGUEM</cp:lastModifiedBy>
  <dcterms:created xsi:type="dcterms:W3CDTF">2026-05-12T14:21:30Z</dcterms:created>
  <dcterms:modified xsi:type="dcterms:W3CDTF">2026-05-13T18:21:59Z</dcterms:modified>
</cp:coreProperties>
</file>