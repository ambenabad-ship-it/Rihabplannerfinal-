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riemBenabad\Documents\Claude\z.systems.KB3\Trade Marketing\WS ( May-June ) Plan\"/>
    </mc:Choice>
  </mc:AlternateContent>
  <xr:revisionPtr revIDLastSave="0" documentId="13_ncr:1_{141E37C8-624F-427A-90C0-3B31A3D4E61E}" xr6:coauthVersionLast="47" xr6:coauthVersionMax="47" xr10:uidLastSave="{00000000-0000-0000-0000-000000000000}"/>
  <bookViews>
    <workbookView xWindow="-108" yWindow="-108" windowWidth="23256" windowHeight="13896" activeTab="2" xr2:uid="{768A8AEC-3807-45E3-8D5A-CCF4C8973498}"/>
  </bookViews>
  <sheets>
    <sheet name="Links of choosed products " sheetId="3" r:id="rId1"/>
    <sheet name="choosen products v2" sheetId="1" r:id="rId2"/>
    <sheet name="Latest" sheetId="4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1" l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W3" i="1"/>
  <c r="V3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SAGUEM</author>
  </authors>
  <commentList>
    <comment ref="C3" authorId="0" shapeId="0" xr:uid="{4C8D58BC-A774-4E87-827A-A2D32EDA56FB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D3" authorId="0" shapeId="0" xr:uid="{1A177B06-D5A8-45C7-AE2F-520CE7F95EA1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E3" authorId="0" shapeId="0" xr:uid="{08BA06BD-FAFE-4437-A683-AD0F38C891FE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C4" authorId="0" shapeId="0" xr:uid="{786481DB-83DC-46F5-ACDF-5D5D28D5E8D5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D4" authorId="0" shapeId="0" xr:uid="{7C1916DF-8A66-470F-9C28-6BC95BAB2FA1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E4" authorId="0" shapeId="0" xr:uid="{02A94C32-33ED-4E05-9B77-8D68DE78EF73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C5" authorId="0" shapeId="0" xr:uid="{A2DC21B8-3DBE-4F02-AF89-57594C8FA760}">
      <text>
        <r>
          <rPr>
            <b/>
            <sz val="9"/>
            <color indexed="81"/>
            <rFont val="Tahoma"/>
          </rPr>
          <t>https://www.jumia.ma/sharp-machine-a-laver-7kg-1200-trmin-67172734.html</t>
        </r>
      </text>
    </comment>
    <comment ref="D5" authorId="0" shapeId="0" xr:uid="{CAD4C5F4-6038-497D-B0F1-54A2F52BE0B1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E5" authorId="0" shapeId="0" xr:uid="{AA946DCC-B600-480D-80FB-788A1858820A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C6" authorId="0" shapeId="0" xr:uid="{6990C2C2-7F0B-44C9-9D9E-E3FB60C29377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D6" authorId="0" shapeId="0" xr:uid="{CBD8BD11-7928-4ECC-A0BB-7AF2BC6AC33E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E6" authorId="0" shapeId="0" xr:uid="{E5E04D18-8841-47E2-BA9D-E7F6D87CB2DB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C7" authorId="0" shapeId="0" xr:uid="{1EBADC14-8CB3-4D4E-8D6A-226D57EBCB16}">
      <text>
        <r>
          <rPr>
            <b/>
            <sz val="9"/>
            <color indexed="81"/>
            <rFont val="Tahoma"/>
          </rPr>
          <t>https://www.jumia.ma/hisense-smart-tv-qled-4k-55-garantie-24-mois-67313922.html</t>
        </r>
      </text>
    </comment>
    <comment ref="D7" authorId="0" shapeId="0" xr:uid="{CCBF0866-0DA1-4699-8F4B-237D25EDEEFC}">
      <text>
        <r>
          <rPr>
            <b/>
            <sz val="9"/>
            <color indexed="81"/>
            <rFont val="Tahoma"/>
          </rPr>
          <t>https://www.jumia.ma/75-crystal-uhd-4k-smart-tv-one-ui-tizen-hdr10-design-metalstream-support-gratuit-75u8075-samsung-mpg1544568.html</t>
        </r>
      </text>
    </comment>
    <comment ref="E7" authorId="0" shapeId="0" xr:uid="{3DD847F2-2DC6-42B6-B0E8-7194813F4ADA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C8" authorId="0" shapeId="0" xr:uid="{888F91C5-E9B8-4770-8AA1-89028D91E64F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D8" authorId="0" shapeId="0" xr:uid="{132BF309-A541-426C-9F3B-7EAA3079DC20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E8" authorId="0" shapeId="0" xr:uid="{72FC0FEA-3760-4038-BDC9-F4B1CF91C8C8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C9" authorId="0" shapeId="0" xr:uid="{06B7BA7E-FCEB-4551-A3B5-1BDEC10FBF58}">
      <text>
        <r>
          <rPr>
            <b/>
            <sz val="9"/>
            <color indexed="81"/>
            <rFont val="Tahoma"/>
          </rPr>
          <t>https://www.jumia.ma/krups-expresso-avec-broyeur-evidence-ea890810-57273607.html</t>
        </r>
      </text>
    </comment>
    <comment ref="D9" authorId="0" shapeId="0" xr:uid="{A3239D94-9B94-4C9E-A3AC-CD27704B15B0}">
      <text>
        <r>
          <rPr>
            <b/>
            <sz val="9"/>
            <color indexed="81"/>
            <rFont val="Tahoma"/>
          </rPr>
          <t>https://www.jumia.ma/samsung-tab-s10-ultra-14.6-12-go-512-go-gris-pierre-de-lune-67308129.html
https://www.jumia.ma/prima-blender-16l-rouge-60827922.html</t>
        </r>
      </text>
    </comment>
    <comment ref="E9" authorId="0" shapeId="0" xr:uid="{8DDEEBFA-B185-414A-BD42-F737EBFEB5AC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C10" authorId="0" shapeId="0" xr:uid="{8EAE9C67-8BEA-4F03-B6FF-30785612FE04}">
      <text>
        <r>
          <rPr>
            <b/>
            <sz val="9"/>
            <color indexed="81"/>
            <rFont val="Tahoma"/>
          </rPr>
          <t>https://www.jumia.ma/samsung-75-4k-uhd-crystal-smart-tv-tizen-hdr10-son-ots-lite-design-metalstream-support-gratuit-75u8000f-67407815.html
https://www.jumia.ma/casio-montre-hommes-mtp-v004d-1b2udf-37030865.html</t>
        </r>
      </text>
    </comment>
    <comment ref="D10" authorId="0" shapeId="0" xr:uid="{A5A55CED-DCA8-4F1B-96F9-07911635D069}">
      <text>
        <r>
          <rPr>
            <b/>
            <sz val="9"/>
            <color indexed="81"/>
            <rFont val="Tahoma"/>
          </rPr>
          <t>https://www.jumia.ma/samsung-galaxy-s26-ultra-69-16gb-ram-1-tb-rom-cobalt-violet-67758540.html</t>
        </r>
      </text>
    </comment>
    <comment ref="E10" authorId="0" shapeId="0" xr:uid="{D0773794-9936-4A7E-898F-21DAF194F46B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C11" authorId="0" shapeId="0" xr:uid="{93638922-9B05-49C5-A0CE-1BC40B888868}">
      <text>
        <r>
          <rPr>
            <b/>
            <sz val="9"/>
            <color indexed="81"/>
            <rFont val="Tahoma"/>
          </rPr>
          <t>https://www.jumia.ma/75-crystal-uhd-4k-smart-tv-one-ui-tizen-hdr10-design-metalstream-support-gratuit-75u8075-samsung-mpg1544568.html</t>
        </r>
      </text>
    </comment>
    <comment ref="D11" authorId="0" shapeId="0" xr:uid="{6E17710D-D5F9-4B65-A9D2-0429C916C27B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E11" authorId="0" shapeId="0" xr:uid="{FA67BB45-3CCF-4491-929F-F3007DDA6E2D}">
      <text>
        <r>
          <rPr>
            <b/>
            <sz val="9"/>
            <color indexed="81"/>
            <rFont val="Tahoma"/>
          </rPr>
          <t>https://www.jumia.ma/samsung-galaxy-tab-s9-ultra-12-go-512-go-graphite-65760372.html</t>
        </r>
      </text>
    </comment>
    <comment ref="C12" authorId="0" shapeId="0" xr:uid="{F8ADD36B-601D-4483-BE08-7EBB5F7A8F54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D12" authorId="0" shapeId="0" xr:uid="{790EFF51-0845-4B6E-BEBA-E2A85CEE864B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E12" authorId="0" shapeId="0" xr:uid="{0A5A2B21-195F-41A4-BE24-062DB204C6A7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https://www.jumia.ma/samsung-75-4k-uhd-crystal-smart-tv-tizen-hdr10-son-ots-lite-design-metalstream-support-gratuit-75u8000f-67407815.html
https://www.jumia.ma/casio-montre-hommes-mtp-v004d-1b2udf-37030865.html</t>
        </r>
      </text>
    </comment>
    <comment ref="C13" authorId="0" shapeId="0" xr:uid="{54661874-6DE8-41DE-9BD1-1FF3B3029677}">
      <text>
        <r>
          <rPr>
            <b/>
            <sz val="9"/>
            <color indexed="81"/>
            <rFont val="Tahoma"/>
          </rPr>
          <t>https://www.jumia.ma/samsung-tab-s10-ultra-14.6-12-go-256-go-gris-pierre-de-lune-67308128.html</t>
        </r>
      </text>
    </comment>
    <comment ref="D13" authorId="0" shapeId="0" xr:uid="{D14B34F1-5D31-4557-BF43-122112ADC22C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E13" authorId="0" shapeId="0" xr:uid="{C3C00A0F-F082-4DBD-85F8-5A1133801011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https://www.jumia.ma/samsung-tab-s10-ultra-14.6-12-go-256-go-gris-pierre-de-lune-67308128.html</t>
        </r>
      </text>
    </comment>
    <comment ref="C14" authorId="0" shapeId="0" xr:uid="{005E710A-5BB4-4FA8-AC6B-D2CB6D4825BA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D14" authorId="0" shapeId="0" xr:uid="{9616510D-D778-47B3-9954-362F6FD5862C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E14" authorId="0" shapeId="0" xr:uid="{277980DC-CE9C-4439-919E-869CDC05FFE1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https://www.jumia.ma/75-4k-ultra-hd-smart-android-tv-recepteur-integre-support-mural-revolution-mpg1544706.html</t>
        </r>
      </text>
    </comment>
    <comment ref="C15" authorId="0" shapeId="0" xr:uid="{5E3B51F7-49BF-41B7-86EC-E22C78570521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D15" authorId="0" shapeId="0" xr:uid="{AD97A962-4CCB-4D64-8389-F7A3E162E3B6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E15" authorId="0" shapeId="0" xr:uid="{4E13C06A-E994-4411-B424-3E280CB0EB03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https://www.jumia.ma/delonghi-magnifica-start-machine-espresso-full-automatique-avec-bro-67248497.html</t>
        </r>
      </text>
    </comment>
    <comment ref="C16" authorId="0" shapeId="0" xr:uid="{056616BE-18DE-447F-87AD-EA87997939A7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https://www.jumia.ma/hisense-smart-tv-qled-4k-55-garantie-24-mois-67313922.html</t>
        </r>
      </text>
    </comment>
    <comment ref="D16" authorId="0" shapeId="0" xr:uid="{CFDCD5F0-F69B-4D3D-B65F-49D6A047F54C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https://www.jumia.ma/75-crystal-uhd-4k-smart-tv-one-ui-tizen-hdr10-design-metalstream-support-gratuit-75u8075-samsung-mpg1544568.html</t>
        </r>
      </text>
    </comment>
    <comment ref="E16" authorId="0" shapeId="0" xr:uid="{42B22E16-29CE-4906-AD16-36B3BAB7B673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https://www.jumia.ma/samsung-galaxy-tab-s9-12-go-512-go-graphite-65760374.html
https://www.jumia.ma/samsung-tab-s10-ultra-14.6-12-go-256-go-gris-pierre-de-lune-67308128.html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SAGUEM</author>
  </authors>
  <commentList>
    <comment ref="B3" authorId="0" shapeId="0" xr:uid="{51FB487C-106E-4A8E-915B-8E6B90B3F738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C3" authorId="0" shapeId="0" xr:uid="{930A5367-06DE-4661-9C74-6189B9285BDD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D3" authorId="0" shapeId="0" xr:uid="{1C692D21-59FB-405E-9DFA-FCFF7D3F9BFD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B4" authorId="0" shapeId="0" xr:uid="{AB62F9D7-9042-48B2-9084-18B4BF74669A}">
      <text>
        <r>
          <rPr>
            <b/>
            <sz val="9"/>
            <color indexed="81"/>
            <rFont val="Tahoma"/>
          </rPr>
          <t>https://www.jumia.ma/karcher-nettoyeur-haute-pression-k2-edition-universelle-canon-a-mousse-brosse-de-nettoyage-des-jantes-offerts-67806363.html</t>
        </r>
      </text>
    </comment>
    <comment ref="C4" authorId="0" shapeId="0" xr:uid="{545439FA-1933-433A-BF3D-FEC264E92F04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D4" authorId="0" shapeId="0" xr:uid="{99AFCB67-B254-41C7-8972-5AA85FE311F3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B5" authorId="0" shapeId="0" xr:uid="{7CEF0F3B-E186-4CA5-964D-D9CD25CDCDEC}">
      <text>
        <r>
          <rPr>
            <b/>
            <sz val="9"/>
            <color indexed="81"/>
            <rFont val="Tahoma"/>
          </rPr>
          <t>https://www.jumia.ma/sharp-machine-a-laver-7kg-1200-trmin-67172734.html</t>
        </r>
      </text>
    </comment>
    <comment ref="C5" authorId="0" shapeId="0" xr:uid="{F88E71EF-0597-49E6-8E0A-042656D1A610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D5" authorId="0" shapeId="0" xr:uid="{D8F5ECA5-D484-47E6-A42F-527F9278C048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B6" authorId="0" shapeId="0" xr:uid="{3E90F710-DCA1-482B-9B9E-EFE814D7898D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C6" authorId="0" shapeId="0" xr:uid="{F8F67D97-BE8A-475C-BF20-3F3E1B7BA6CD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D6" authorId="0" shapeId="0" xr:uid="{26A54B86-FC72-4C6A-AF67-078610188D64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B7" authorId="0" shapeId="0" xr:uid="{273B7E5C-B16E-4544-B177-E1B237C73334}">
      <text>
        <r>
          <rPr>
            <b/>
            <sz val="9"/>
            <color indexed="81"/>
            <rFont val="Tahoma"/>
          </rPr>
          <t>https://www.jumia.ma/hisense-smart-tv-qled-4k-55-garantie-24-mois-67313922.html</t>
        </r>
      </text>
    </comment>
    <comment ref="C7" authorId="0" shapeId="0" xr:uid="{2A56ED8A-0EB6-445F-8461-9897AC3B3D7A}">
      <text>
        <r>
          <rPr>
            <b/>
            <sz val="9"/>
            <color indexed="81"/>
            <rFont val="Tahoma"/>
          </rPr>
          <t>https://www.jumia.ma/75-crystal-uhd-4k-smart-tv-one-ui-tizen-hdr10-design-metalstream-support-gratuit-75u8075-samsung-mpg1544568.html</t>
        </r>
      </text>
    </comment>
    <comment ref="D7" authorId="0" shapeId="0" xr:uid="{A0204DDD-E263-4F31-A23B-BDD72D4D2BCB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B8" authorId="0" shapeId="0" xr:uid="{F3A13593-516A-4B8D-B73C-3027229AEF1C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C8" authorId="0" shapeId="0" xr:uid="{84BE1C96-2E17-405D-AE8C-968662AD0EA1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D8" authorId="0" shapeId="0" xr:uid="{F0E8397A-3A23-4F99-ABED-7DBD472372B6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B9" authorId="0" shapeId="0" xr:uid="{7B6A63C8-C9D9-4D6C-8160-8F1A7E34E258}">
      <text>
        <r>
          <rPr>
            <b/>
            <sz val="9"/>
            <color indexed="81"/>
            <rFont val="Tahoma"/>
          </rPr>
          <t>https://www.jumia.ma/krups-expresso-avec-broyeur-evidence-ea890810-57273607.html</t>
        </r>
      </text>
    </comment>
    <comment ref="C9" authorId="0" shapeId="0" xr:uid="{269B7FD2-FC02-47A6-8F4B-B7905B229246}">
      <text>
        <r>
          <rPr>
            <b/>
            <sz val="9"/>
            <color indexed="81"/>
            <rFont val="Tahoma"/>
          </rPr>
          <t>https://www.jumia.ma/samsung-tab-s10-ultra-14.6-12-go-512-go-gris-pierre-de-lune-67308129.html
https://www.jumia.ma/prima-blender-16l-rouge-60827922.html</t>
        </r>
      </text>
    </comment>
    <comment ref="D9" authorId="0" shapeId="0" xr:uid="{6259D3C7-DC46-4502-9CFB-590FCD3DA3AA}">
      <text>
        <r>
          <rPr>
            <b/>
            <sz val="9"/>
            <color indexed="81"/>
            <rFont val="Tahoma"/>
          </rPr>
          <t>https://www.jumia.ma/delonghi-magnifica-start-machine-espresso-full-automatique-avec-bro-67248497.html</t>
        </r>
      </text>
    </comment>
    <comment ref="B10" authorId="0" shapeId="0" xr:uid="{899BD5DA-4C11-4C54-90ED-BEF8C432C143}">
      <text>
        <r>
          <rPr>
            <b/>
            <sz val="9"/>
            <color indexed="81"/>
            <rFont val="Tahoma"/>
          </rPr>
          <t>https://www.jumia.ma/samsung-75-4k-uhd-crystal-smart-tv-tizen-hdr10-son-ots-lite-design-metalstream-support-gratuit-75u8000f-67407815.html
https://www.jumia.ma/casio-montre-hommes-mtp-v004d-1b2udf-37030865.html</t>
        </r>
      </text>
    </comment>
    <comment ref="C10" authorId="0" shapeId="0" xr:uid="{1C754F38-CAF4-492A-A4CA-ED000629C392}">
      <text>
        <r>
          <rPr>
            <b/>
            <sz val="9"/>
            <color indexed="81"/>
            <rFont val="Tahoma"/>
          </rPr>
          <t>https://www.jumia.ma/samsung-galaxy-s26-ultra-69-16gb-ram-1-tb-rom-cobalt-violet-67758540.html</t>
        </r>
      </text>
    </comment>
    <comment ref="D10" authorId="0" shapeId="0" xr:uid="{559FBF6E-C3B5-4279-9A81-5D5508AA3896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B11" authorId="0" shapeId="0" xr:uid="{A451D0AF-CFD6-4DAC-A252-CBEE694DE5A0}">
      <text>
        <r>
          <rPr>
            <b/>
            <sz val="9"/>
            <color indexed="81"/>
            <rFont val="Tahoma"/>
          </rPr>
          <t>https://www.jumia.ma/75-crystal-uhd-4k-smart-tv-one-ui-tizen-hdr10-design-metalstream-support-gratuit-75u8075-samsung-mpg1544568.html</t>
        </r>
      </text>
    </comment>
    <comment ref="C11" authorId="0" shapeId="0" xr:uid="{A168B2BB-C432-4D90-B462-4E119829D4E5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D11" authorId="0" shapeId="0" xr:uid="{49555686-8D2E-40EA-A3C8-7487E7B59A2E}">
      <text>
        <r>
          <rPr>
            <b/>
            <sz val="9"/>
            <color indexed="81"/>
            <rFont val="Tahoma"/>
          </rPr>
          <t>https://www.jumia.ma/samsung-galaxy-tab-s9-ultra-12-go-512-go-graphite-65760372.html</t>
        </r>
      </text>
    </comment>
    <comment ref="B12" authorId="0" shapeId="0" xr:uid="{12D4AF47-6FC2-43CE-9A36-C5F89A8DABCE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C12" authorId="0" shapeId="0" xr:uid="{220757C2-B754-4B51-B776-CC6EFFC6A3F9}">
      <text>
        <r>
          <rPr>
            <b/>
            <sz val="9"/>
            <color indexed="81"/>
            <rFont val="Tahoma"/>
          </rPr>
          <t>https://www.jumia.ma/rowenta-aspirateur-robot-laveur-x-plorer-serie85-rr87c5wh-67826912.html</t>
        </r>
      </text>
    </comment>
    <comment ref="D12" authorId="0" shapeId="0" xr:uid="{0CC9C36F-1ABF-4DB7-84DB-CD3BFB2659B2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https://www.jumia.ma/samsung-75-4k-uhd-crystal-smart-tv-tizen-hdr10-son-ots-lite-design-metalstream-support-gratuit-75u8000f-67407815.html
https://www.jumia.ma/casio-montre-hommes-mtp-v004d-1b2udf-37030865.html</t>
        </r>
      </text>
    </comment>
    <comment ref="B13" authorId="0" shapeId="0" xr:uid="{716F7143-C2DB-44B4-ACC9-F4E3CF223F27}">
      <text>
        <r>
          <rPr>
            <b/>
            <sz val="9"/>
            <color indexed="81"/>
            <rFont val="Tahoma"/>
          </rPr>
          <t>https://www.jumia.ma/samsung-tab-s10-ultra-14.6-12-go-256-go-gris-pierre-de-lune-67308128.html</t>
        </r>
      </text>
    </comment>
    <comment ref="C13" authorId="0" shapeId="0" xr:uid="{C0356287-E02A-4CF1-B3E8-6C47A4B2002F}">
      <text>
        <r>
          <rPr>
            <b/>
            <sz val="9"/>
            <color indexed="81"/>
            <rFont val="Tahoma"/>
          </rPr>
          <t>https://www.jumia.ma/thomson-google-tv-55-qled-pro-67246900.html</t>
        </r>
      </text>
    </comment>
    <comment ref="D13" authorId="0" shapeId="0" xr:uid="{C83C4D9F-3183-4694-BF69-C705F7488737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https://www.jumia.ma/samsung-tab-s10-ultra-14.6-12-go-256-go-gris-pierre-de-lune-67308128.html</t>
        </r>
      </text>
    </comment>
    <comment ref="B14" authorId="0" shapeId="0" xr:uid="{07F02F7C-4E1C-4A93-B3F8-F4A4EAA04CBF}">
      <text>
        <r>
          <rPr>
            <b/>
            <sz val="9"/>
            <color indexed="81"/>
            <rFont val="Tahoma"/>
          </rPr>
          <t>https://www.jumia.ma/85-crystal-uhd-4k-smart-tv-one-ui-tizen-hdr10-design-metalstream-support-gratuit-85u8075-samsung-mpg1544628.html
https://www.jumia.ma/prima-hotte-60-cm-65430885.html</t>
        </r>
      </text>
    </comment>
    <comment ref="C14" authorId="0" shapeId="0" xr:uid="{C69EB19C-C7CE-4108-B52F-AD5FF8B06E8C}">
      <text>
        <r>
          <rPr>
            <b/>
            <sz val="9"/>
            <color indexed="81"/>
            <rFont val="Tahoma"/>
          </rPr>
          <t>https://www.jumia.ma/infiniton-refrigerateur-americain-sbs-668-wdix-no-frost-177-cm-559-l-64693450.html</t>
        </r>
      </text>
    </comment>
    <comment ref="D14" authorId="0" shapeId="0" xr:uid="{5058C11E-6EB9-4F28-BB3C-E51CB99ABB7F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https://www.jumia.ma/75-4k-ultra-hd-smart-android-tv-recepteur-integre-support-mural-revolution-mpg1544706.html</t>
        </r>
      </text>
    </comment>
    <comment ref="B15" authorId="0" shapeId="0" xr:uid="{9E4F1863-8329-484F-B0B8-EDB37D2D67E0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C15" authorId="0" shapeId="0" xr:uid="{1D3F74EC-4084-4D3F-8CA5-089B9E823DAD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https://www.jumia.ma/samsung-galaxy-tab-s9-ultra-12-go-512-go-graphite-65760372.html</t>
        </r>
      </text>
    </comment>
    <comment ref="D15" authorId="0" shapeId="0" xr:uid="{3CB58BB5-DFF7-4FB5-8B07-00885DAFC8D5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https://www.jumia.ma/delonghi-magnifica-start-machine-espresso-full-automatique-avec-bro-67248497.html</t>
        </r>
      </text>
    </comment>
    <comment ref="B16" authorId="0" shapeId="0" xr:uid="{6D3B24D1-82A2-4C3C-8D4F-2CD0226953E2}">
      <text>
        <r>
          <rPr>
            <b/>
            <sz val="9"/>
            <color indexed="81"/>
            <rFont val="Tahoma"/>
          </rPr>
          <t>Kamal SAGUEM:</t>
        </r>
        <r>
          <rPr>
            <sz val="9"/>
            <color indexed="81"/>
            <rFont val="Tahoma"/>
          </rPr>
          <t xml:space="preserve">
https://www.jumia.ma/hisense-smart-tv-qled-4k-55-garantie-24-mois-67313922.html</t>
        </r>
      </text>
    </comment>
    <comment ref="C16" authorId="0" shapeId="0" xr:uid="{4DDBB014-4912-4899-BB0D-94EB4958E834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https://www.jumia.ma/75-crystal-uhd-4k-smart-tv-one-ui-tizen-hdr10-design-metalstream-support-gratuit-75u8075-samsung-mpg1544568.html</t>
        </r>
      </text>
    </comment>
    <comment ref="D16" authorId="0" shapeId="0" xr:uid="{C4A5BB3C-4087-4EA4-8E30-73BE6129E10F}">
      <text>
        <r>
          <rPr>
            <b/>
            <sz val="9"/>
            <color indexed="81"/>
            <rFont val="Tahoma"/>
          </rPr>
          <t>https://www.jumia.ma/samsung-galaxy-tab-s9-ultra-12-go-512-go-graphite-65760372.html
https://www.jumia.ma/samsung-galaxy-s26-ultra-69-16gb-ram-1-tb-rom-cobalt-violet-67758540.html
https://www.jumia.ma/85-crystal-uhd-4k-smart-tv-one-ui-tizen-hdr10-design-metalstream-support-gratuit-85u8075-samsung-mpg1544628.html
https://www.jumia.ma/samsung-galaxy-tab-s9-12-go-512-go-graphite-65760374.html
https://www.jumia.ma/samsung-tab-s10-ultra-14.6-12-go-256-go-gris-pierre-de-lune-67308128.html</t>
        </r>
      </text>
    </comment>
  </commentList>
</comments>
</file>

<file path=xl/sharedStrings.xml><?xml version="1.0" encoding="utf-8"?>
<sst xmlns="http://schemas.openxmlformats.org/spreadsheetml/2006/main" count="167" uniqueCount="82">
  <si>
    <t>Engagement</t>
  </si>
  <si>
    <t>Cadeau 1</t>
  </si>
  <si>
    <t>Cadeau 2</t>
  </si>
  <si>
    <t>Cadeau 3</t>
  </si>
  <si>
    <t>AUDIT — Budget vs Actual</t>
  </si>
  <si>
    <t>Bundle</t>
  </si>
  <si>
    <t>Budget G1</t>
  </si>
  <si>
    <t>Prix G1</t>
  </si>
  <si>
    <t>Marge G1</t>
  </si>
  <si>
    <t>Budget G2</t>
  </si>
  <si>
    <t>Prix G2</t>
  </si>
  <si>
    <t>Marge G2</t>
  </si>
  <si>
    <t>Budget G3</t>
  </si>
  <si>
    <t>Prix A+B</t>
  </si>
  <si>
    <t>Marge G3</t>
  </si>
  <si>
    <t>Status</t>
  </si>
  <si>
    <t>✓ OK</t>
  </si>
  <si>
    <t>Sharp Machine à laver 7kg / 1200 tr/min;2 999,00</t>
  </si>
  <si>
    <t>Thomson Google TV 55" QLED Pro;5 999,00</t>
  </si>
  <si>
    <t>Infiniton Réfrigérateur Américain SBS-668 559L;12 000,00</t>
  </si>
  <si>
    <t>Hisense Smart TV QLED 4K 55";4 999,00</t>
  </si>
  <si>
    <t>Triporteur (hors Jumia);20 000,00</t>
  </si>
  <si>
    <t>Samsung Tab S10 Ultra 14.6" 12GB+256GB;12 999,00</t>
  </si>
  <si>
    <t>Triporteur (hors Jumia);20 000,00
Thomson Google TV 55" QLED Pro;5 999,00</t>
  </si>
  <si>
    <t>Triporteur (hors Jumia);20 000,00
Samsung Galaxy Tab S9 Ultra 12GB+512GB;18 999,00
Samsung Tab S10 Ultra 14.6" 12GB+256GB;12 999,00</t>
  </si>
  <si>
    <t>Triporteur (hors Jumia);20 000,00
Infiniton Réfrigérateur Américain SBS-668 559L;12 000,00</t>
  </si>
  <si>
    <t>Triporteur (hors Jumia);20 000,00
Hisense Smart TV QLED 4K 55";4 999,00</t>
  </si>
  <si>
    <t>Triporteur (hors Jumia);20 000,00
Samsung Galaxy Tab S9 Ultra 12GB+512GB;18 999,00
Samsung Galaxy S26 Ultra 16GB+1TB;17 599,00
Samsung 85" Crystal UHD 4K Smart TV 85U8075;15 299,00
Samsung Galaxy Tab S9+ 12GB+512GB;14 999,00
Samsung Tab S10 Ultra 14.6" 12GB+256GB;12 999,00</t>
  </si>
  <si>
    <t xml:space="preserve">Triporteur (hors Jumia);20 000,00
Samsung Galaxy Tab S9 Ultra 12GB+512GB;18 999,00
Samsung 75" Crystal UHD 4K Smart TV 75U8075;9 739,00
</t>
  </si>
  <si>
    <t xml:space="preserve">Triporteur (hors Jumia);20 000,00
Samsung Galaxy Tab S9 Ultra 12GB+512GB;18 999,00
</t>
  </si>
  <si>
    <t xml:space="preserve">Samsung 85" Crystal UHD 4K Smart TV 85U8075;15 299,00
</t>
  </si>
  <si>
    <t>Samsung 75" Crystal UHD 4K Smart TV 75U8075;9 739,00</t>
  </si>
  <si>
    <t xml:space="preserve">Samsung Galaxy S26 Ultra 16GB+1TB;17 599,00
</t>
  </si>
  <si>
    <t xml:space="preserve">Triporteur (hors Jumia);20 000,00
Samsung 85" Crystal UHD 4K Smart TV 85U8075;15 299,00
</t>
  </si>
  <si>
    <t xml:space="preserve">Samsung 75" Crystal UHD 4K Smart TV 75U8075;9 739,00
</t>
  </si>
  <si>
    <t xml:space="preserve">Samsung Tab S10 Ultra 14.6" 12GB+512GB;13 779,00
</t>
  </si>
  <si>
    <t xml:space="preserve">Samsung 75" 4K UHD Crystal Smart TV 75U8000F;8 579,00
</t>
  </si>
  <si>
    <t xml:space="preserve">Triporteur (hors Jumia);20 000,00
Samsung Galaxy Tab S9 Ultra 12GB+512GB;18 999,00
Samsung 75" 4K UHD Crystal Smart TV 75U8000F;8 579,00
</t>
  </si>
  <si>
    <t xml:space="preserve">Triporteur (hors Jumia);20 000,00
Samsung Galaxy Tab S9 Ultra 12GB+512GB;18 999,00
Samsung Galaxy S26 Ultra 16GB+1TB;17 599,00
Revolution 75" 4K UHD Smart Android TV;7 079,00
</t>
  </si>
  <si>
    <t>Cadeau 1 — Liens</t>
  </si>
  <si>
    <t>Cadeau 2 — Liens</t>
  </si>
  <si>
    <t>Cadeau 3 — Liens</t>
  </si>
  <si>
    <t>vivo Y04 6.7" 64Go ROM + 4GB
Hors Jumia</t>
  </si>
  <si>
    <t>Karcher Nettoyeur K2 Édition Universelle
https://www.jumia.ma/karcher-nettoyeur-haute-pression-k2-edition-universelle-canon-a-mousse-brosse-de-nettoyage-des-jantes-offerts-67806363.html</t>
  </si>
  <si>
    <t>Rowenta Aspirateur Robot X-PLORER Série 85
https://www.jumia.ma/rowenta-aspirateur-robot-laveur-x-plorer-serie85-rr87c5wh-67826912.html</t>
  </si>
  <si>
    <t>DeLonghi Magnifica Start Espresso Auto
https://www.jumia.ma/delonghi-magnifica-start-machine-espresso-full-automatique-avec-bro-67248497.html</t>
  </si>
  <si>
    <t>Sharp Machine à laver 7kg / 1200 tr/min
https://www.jumia.ma/sharp-machine-a-laver-7kg-1200-trmin-67172734.html</t>
  </si>
  <si>
    <t>Thomson Google TV 55" QLED Pro
https://www.jumia.ma/thomson-google-tv-55-qled-pro-67246900.html</t>
  </si>
  <si>
    <t>Infiniton Réfrigérateur Américain SBS-668 559L
https://www.jumia.ma/infiniton-refrigerateur-americain-sbs-668-wdix-no-frost-177-cm-559-l-64693450.html</t>
  </si>
  <si>
    <t>Samsung 85" Crystal UHD 4K Smart TV 85U8075
https://www.jumia.ma/85-crystal-uhd-4k-smart-tv-one-ui-tizen-hdr10-design-metalstream-support-gratuit-85u8075-samsung-mpg1544628.html</t>
  </si>
  <si>
    <t>Hisense Smart TV QLED 4K 55"
https://www.jumia.ma/hisense-smart-tv-qled-4k-55-garantie-24-mois-67313922.html</t>
  </si>
  <si>
    <t>Samsung 75" Crystal UHD 4K Smart TV 75U8075
https://www.jumia.ma/75-crystal-uhd-4k-smart-tv-one-ui-tizen-hdr10-design-metalstream-support-gratuit-75u8075-samsung-mpg1544568.html</t>
  </si>
  <si>
    <t>Triporteur (hors Jumia)
Hors Jumia</t>
  </si>
  <si>
    <t>Triporteur (hors Jumia)
Hors Jumia
Rowenta Aspirateur Robot X-PLORER Série 85
https://www.jumia.ma/rowenta-aspirateur-robot-laveur-x-plorer-serie85-rr87c5wh-67826912.html</t>
  </si>
  <si>
    <t>Krups Espresso Broyeur Evidence EA890810
https://www.jumia.ma/krups-expresso-avec-broyeur-evidence-ea890810-57273607.html</t>
  </si>
  <si>
    <t>Samsung Tab S10 Ultra 14.6" 12GB+512GB
https://www.jumia.ma/samsung-tab-s10-ultra-14.6-12-go-512-go-gris-pierre-de-lune-67308129.html</t>
  </si>
  <si>
    <t>Triporteur (hors Jumia)
Hors Jumia
DeLonghi Magnifica Start Espresso Auto
https://www.jumia.ma/delonghi-magnifica-start-machine-espresso-full-automatique-avec-bro-67248497.html</t>
  </si>
  <si>
    <t>Samsung 75" 4K UHD Crystal Smart TV 75U8000F
https://www.jumia.ma/samsung-75-4k-uhd-crystal-smart-tv-tizen-hdr10-son-ots-lite-design-metalstream-support-gratuit-75u8000f-67407815.html</t>
  </si>
  <si>
    <t>Samsung Galaxy S26 Ultra 16GB+1TB
https://www.jumia.ma/samsung-galaxy-s26-ultra-69-16gb-ram-1-tb-rom-cobalt-violet-67758540.html</t>
  </si>
  <si>
    <t>Triporteur (hors Jumia)
Hors Jumia
Samsung 85" Crystal UHD 4K Smart TV 85U8075
https://www.jumia.ma/85-crystal-uhd-4k-smart-tv-one-ui-tizen-hdr10-design-metalstream-support-gratuit-85u8075-samsung-mpg1544628.html</t>
  </si>
  <si>
    <t>Triporteur (hors Jumia)
Hors Jumia
Samsung Galaxy Tab S9 Ultra 12GB+512GB
https://www.jumia.ma/samsung-galaxy-tab-s9-ultra-12-go-512-go-graphite-65760372.html</t>
  </si>
  <si>
    <t>Triporteur (hors Jumia)
Hors Jumia
Samsung Galaxy Tab S9 Ultra 12GB+512GB
https://www.jumia.ma/samsung-galaxy-tab-s9-ultra-12-go-512-go-graphite-65760372.html
Samsung 75" 4K UHD Crystal Smart TV 75U8000F
https://www.jumia.ma/samsung-75-4k-uhd-crystal-smart-tv-tizen-hdr10-son-ots-lite-design-metalstream-support-gratuit-75u8000f-67407815.html</t>
  </si>
  <si>
    <t>Samsung Tab S10 Ultra 14.6" 12GB+256GB
https://www.jumia.ma/samsung-tab-s10-ultra-14.6-12-go-256-go-gris-pierre-de-lune-67308128.html</t>
  </si>
  <si>
    <t>Triporteur (hors Jumia)
Hors Jumia
Thomson Google TV 55" QLED Pro
https://www.jumia.ma/thomson-google-tv-55-qled-pro-67246900.html</t>
  </si>
  <si>
    <t>Triporteur (hors Jumia)
Hors Jumia
Samsung Galaxy Tab S9 Ultra 12GB+512GB
https://www.jumia.ma/samsung-galaxy-tab-s9-ultra-12-go-512-go-graphite-65760372.html
Samsung Tab S10 Ultra 14.6" 12GB+256GB
https://www.jumia.ma/samsung-tab-s10-ultra-14.6-12-go-256-go-gris-pierre-de-lune-67308128.html</t>
  </si>
  <si>
    <t>Triporteur (hors Jumia)
Hors Jumia
Infiniton Réfrigérateur Américain SBS-668 559L
https://www.jumia.ma/infiniton-refrigerateur-americain-sbs-668-wdix-no-frost-177-cm-559-l-64693450.html</t>
  </si>
  <si>
    <t>Triporteur (hors Jumia)
Hors Jumia
Samsung Galaxy Tab S9 Ultra 12GB+512GB
https://www.jumia.ma/samsung-galaxy-tab-s9-ultra-12-go-512-go-graphite-65760372.html
Samsung Galaxy S26 Ultra 16GB+1TB
https://www.jumia.ma/samsung-galaxy-s26-ultra-69-16gb-ram-1-tb-rom-cobalt-violet-67758540.html
Revolution 75" 4K UHD Smart Android TV
https://www.jumia.ma/75-4k-ultra-hd-smart-android-tv-recepteur-integre-support-mural-revolution-mpg1544706.html</t>
  </si>
  <si>
    <t>Triporteur (hors Jumia)
Hors Jumia
Samsung Galaxy Tab S9 Ultra 12GB+512GB
https://www.jumia.ma/samsung-galaxy-tab-s9-ultra-12-go-512-go-graphite-65760372.html
Samsung Galaxy S26 Ultra 16GB+1TB
https://www.jumia.ma/samsung-galaxy-s26-ultra-69-16gb-ram-1-tb-rom-cobalt-violet-67758540.html
Samsung 85" Crystal UHD 4K Smart TV 85U8075
https://www.jumia.ma/85-crystal-uhd-4k-smart-tv-one-ui-tizen-hdr10-design-metalstream-support-gratuit-85u8075-samsung-mpg1544628.html
DeLonghi Magnifica Start Espresso Auto
https://www.jumia.ma/delonghi-magnifica-start-machine-espresso-full-automatique-avec-bro-67248497.html</t>
  </si>
  <si>
    <t>Triporteur (hors Jumia)
Hors Jumia
Hisense Smart TV QLED 4K 55"
https://www.jumia.ma/hisense-smart-tv-qled-4k-55-garantie-24-mois-67313922.html</t>
  </si>
  <si>
    <t>Triporteur (hors Jumia)
Hors Jumia
Samsung Galaxy Tab S9 Ultra 12GB+512GB
https://www.jumia.ma/samsung-galaxy-tab-s9-ultra-12-go-512-go-graphite-65760372.html
Samsung 75" Crystal UHD 4K Smart TV 75U8075
https://www.jumia.ma/75-crystal-uhd-4k-smart-tv-one-ui-tizen-hdr10-design-metalstream-support-gratuit-75u8075-samsung-mpg1544568.html</t>
  </si>
  <si>
    <t>Triporteur (hors Jumia)
Hors Jumia
Samsung Galaxy Tab S9 Ultra 12GB+512GB
https://www.jumia.ma/samsung-galaxy-tab-s9-ultra-12-go-512-go-graphite-65760372.html
Samsung Galaxy S26 Ultra 16GB+1TB
https://www.jumia.ma/samsung-galaxy-s26-ultra-69-16gb-ram-1-tb-rom-cobalt-violet-67758540.html
Samsung 85" Crystal UHD 4K Smart TV 85U8075
https://www.jumia.ma/85-crystal-uhd-4k-smart-tv-one-ui-tizen-hdr10-design-metalstream-support-gratuit-85u8075-samsung-mpg1544628.html
Samsung Galaxy Tab S9+ 12GB+512GB
https://www.jumia.ma/samsung-galaxy-tab-s9-12-go-512-go-graphite-65760374.html
Samsung Tab S10 Ultra 14.6" 12GB+256GB
https://www.jumia.ma/samsung-tab-s10-ultra-14.6-12-go-256-go-gris-pierre-de-lune-67308128.html</t>
  </si>
  <si>
    <t xml:space="preserve">téléphone Samsung Galaxy A05
</t>
  </si>
  <si>
    <t>Samsung 50 45k UHD CRISTAL</t>
  </si>
  <si>
    <t>Triporteur (hors Jumia);20 000,00
Samsung 50 45k UHD CRISTAL</t>
  </si>
  <si>
    <t>Samsung 65 Crystal UHD 4K Smart TV One UI Tizen, HDR10+, design MetalStream + Support gratuit, 65U8075F ( Budjet 7000dh )</t>
  </si>
  <si>
    <t>Triporteur (hors Jumia);20 000,00
Samsung 65 Crystal UHD 4K Smart TV One UI Tizen, HDR10+, design MetalStream + Support gratuit, 65U8075F ( Budjet 7000dh )</t>
  </si>
  <si>
    <t>vivo Y04 6.7" 64Go ROM + 4GB;999,0</t>
  </si>
  <si>
    <t>Triporteur (hors Jumia);20 000,00
Samsung Galaxy Tab S9 Ultra 12GB+512GB;18 999,00
Samsung Galaxy S26 Ultra 16GB+1TB;17 599,00
Samsung 85" Crystal UHD 4K Smart TV 85U8075;15 299,00
Samsung 50 45k UHD CRISTAL</t>
  </si>
  <si>
    <t xml:space="preserve">2 xTriporteur (hors Jumia);20 000,00
Samsung Galaxy S26 Ultra 16GB+1TB;17 599,00
Revolution 75" 4K UHD Smart Android TV;7 079,00
</t>
  </si>
  <si>
    <t>2x Triporteur (hors Jumia);20 000,00
Samsung Tab S10 Ultra 14.6" 12GB+256GB;12 999,00</t>
  </si>
  <si>
    <t>3x Triporteur (hors Jumia);20 000,00
Samsung 85" Crystal UHD 4K Smart TV 85U8075;15 299,00
Samsung Galaxy Tab S9+ 12GB+512GB;14 999,00
Samsung Tab S10 Ultra 14.6" 12GB+256GB;12 999,00</t>
  </si>
  <si>
    <t>2x Triporteur (hors Jumia);20 000,00
Samsung Galaxy S26 Ultra 16GB+1TB;17 599,00
Samsung 85" Crystal UHD 4K Smart TV 85U8075;15 299,00
Samsung 50 45k UHD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</si>
</sst>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3" fontId="6" fillId="5" borderId="4" xfId="0" applyNumberFormat="1" applyFon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0" fillId="6" borderId="3" xfId="0" applyNumberFormat="1" applyFill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3" fontId="0" fillId="0" borderId="6" xfId="0" applyNumberFormat="1" applyBorder="1" applyAlignment="1">
      <alignment horizontal="center" vertical="top" wrapText="1"/>
    </xf>
    <xf numFmtId="3" fontId="0" fillId="0" borderId="7" xfId="0" applyNumberForma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9" fillId="0" borderId="0" xfId="1" applyNumberFormat="1"/>
    <xf numFmtId="165" fontId="0" fillId="0" borderId="0" xfId="2" applyNumberFormat="1" applyFont="1"/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5D9D28-C7E0-4C3E-B156-315E93905E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308d69c-44d4-4c20-8d62-cbba55de1d4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4930-C7E1-4EB9-9914-57F874D26F78}">
  <dimension ref="A1:E15"/>
  <sheetViews>
    <sheetView workbookViewId="0">
      <selection activeCell="D3" sqref="D3"/>
    </sheetView>
  </sheetViews>
  <sheetFormatPr defaultColWidth="11.19921875" defaultRowHeight="15.6" x14ac:dyDescent="0.3"/>
  <cols>
    <col min="1" max="1" width="8.296875" customWidth="1"/>
    <col min="2" max="2" width="12.5" customWidth="1"/>
    <col min="3" max="5" width="50" customWidth="1"/>
  </cols>
  <sheetData>
    <row r="1" spans="1:5" ht="25.05" customHeight="1" x14ac:dyDescent="0.3">
      <c r="A1" s="24" t="s">
        <v>5</v>
      </c>
      <c r="B1" s="23" t="s">
        <v>0</v>
      </c>
      <c r="C1" s="23" t="s">
        <v>39</v>
      </c>
      <c r="D1" s="23" t="s">
        <v>40</v>
      </c>
      <c r="E1" s="25" t="s">
        <v>41</v>
      </c>
    </row>
    <row r="2" spans="1:5" ht="62.4" x14ac:dyDescent="0.3">
      <c r="A2" s="28">
        <v>1</v>
      </c>
      <c r="B2" s="30">
        <v>7000</v>
      </c>
      <c r="C2" s="21" t="s">
        <v>42</v>
      </c>
      <c r="D2" s="21" t="s">
        <v>43</v>
      </c>
      <c r="E2" s="26" t="s">
        <v>44</v>
      </c>
    </row>
    <row r="3" spans="1:5" ht="62.4" x14ac:dyDescent="0.3">
      <c r="A3" s="28">
        <v>2</v>
      </c>
      <c r="B3" s="30">
        <v>14000</v>
      </c>
      <c r="C3" s="21" t="s">
        <v>43</v>
      </c>
      <c r="D3" s="21" t="s">
        <v>44</v>
      </c>
      <c r="E3" s="26" t="s">
        <v>45</v>
      </c>
    </row>
    <row r="4" spans="1:5" ht="46.8" x14ac:dyDescent="0.3">
      <c r="A4" s="28">
        <v>3</v>
      </c>
      <c r="B4" s="30">
        <v>21000</v>
      </c>
      <c r="C4" s="21" t="s">
        <v>46</v>
      </c>
      <c r="D4" s="21" t="s">
        <v>47</v>
      </c>
      <c r="E4" s="26" t="s">
        <v>48</v>
      </c>
    </row>
    <row r="5" spans="1:5" ht="62.4" x14ac:dyDescent="0.3">
      <c r="A5" s="28">
        <v>4</v>
      </c>
      <c r="B5" s="30">
        <v>28000</v>
      </c>
      <c r="C5" s="21" t="s">
        <v>44</v>
      </c>
      <c r="D5" s="21" t="s">
        <v>45</v>
      </c>
      <c r="E5" s="26" t="s">
        <v>49</v>
      </c>
    </row>
    <row r="6" spans="1:5" ht="62.4" x14ac:dyDescent="0.3">
      <c r="A6" s="28">
        <v>5</v>
      </c>
      <c r="B6" s="30">
        <v>35000</v>
      </c>
      <c r="C6" s="21" t="s">
        <v>50</v>
      </c>
      <c r="D6" s="21" t="s">
        <v>51</v>
      </c>
      <c r="E6" s="26" t="s">
        <v>52</v>
      </c>
    </row>
    <row r="7" spans="1:5" ht="93.6" x14ac:dyDescent="0.3">
      <c r="A7" s="28">
        <v>6</v>
      </c>
      <c r="B7" s="30">
        <v>42000</v>
      </c>
      <c r="C7" s="21" t="s">
        <v>47</v>
      </c>
      <c r="D7" s="21" t="s">
        <v>48</v>
      </c>
      <c r="E7" s="26" t="s">
        <v>53</v>
      </c>
    </row>
    <row r="8" spans="1:5" ht="109.2" x14ac:dyDescent="0.3">
      <c r="A8" s="28">
        <v>7</v>
      </c>
      <c r="B8" s="30">
        <v>49000</v>
      </c>
      <c r="C8" s="21" t="s">
        <v>54</v>
      </c>
      <c r="D8" s="21" t="s">
        <v>55</v>
      </c>
      <c r="E8" s="26" t="s">
        <v>56</v>
      </c>
    </row>
    <row r="9" spans="1:5" ht="109.2" x14ac:dyDescent="0.3">
      <c r="A9" s="28">
        <v>8</v>
      </c>
      <c r="B9" s="30">
        <v>63000</v>
      </c>
      <c r="C9" s="21" t="s">
        <v>57</v>
      </c>
      <c r="D9" s="21" t="s">
        <v>58</v>
      </c>
      <c r="E9" s="26" t="s">
        <v>59</v>
      </c>
    </row>
    <row r="10" spans="1:5" ht="93.6" x14ac:dyDescent="0.3">
      <c r="A10" s="28">
        <v>9</v>
      </c>
      <c r="B10" s="30">
        <v>70000</v>
      </c>
      <c r="C10" s="21" t="s">
        <v>51</v>
      </c>
      <c r="D10" s="21" t="s">
        <v>52</v>
      </c>
      <c r="E10" s="26" t="s">
        <v>60</v>
      </c>
    </row>
    <row r="11" spans="1:5" ht="171.6" x14ac:dyDescent="0.3">
      <c r="A11" s="28">
        <v>10</v>
      </c>
      <c r="B11" s="30">
        <v>84000</v>
      </c>
      <c r="C11" s="21" t="s">
        <v>48</v>
      </c>
      <c r="D11" s="21" t="s">
        <v>53</v>
      </c>
      <c r="E11" s="26" t="s">
        <v>61</v>
      </c>
    </row>
    <row r="12" spans="1:5" ht="156" x14ac:dyDescent="0.3">
      <c r="A12" s="28">
        <v>11</v>
      </c>
      <c r="B12" s="30">
        <v>91000</v>
      </c>
      <c r="C12" s="21" t="s">
        <v>62</v>
      </c>
      <c r="D12" s="21" t="s">
        <v>63</v>
      </c>
      <c r="E12" s="26" t="s">
        <v>64</v>
      </c>
    </row>
    <row r="13" spans="1:5" ht="234" x14ac:dyDescent="0.3">
      <c r="A13" s="28">
        <v>12</v>
      </c>
      <c r="B13" s="30">
        <v>112000</v>
      </c>
      <c r="C13" s="21" t="s">
        <v>49</v>
      </c>
      <c r="D13" s="21" t="s">
        <v>65</v>
      </c>
      <c r="E13" s="26" t="s">
        <v>66</v>
      </c>
    </row>
    <row r="14" spans="1:5" ht="312" x14ac:dyDescent="0.3">
      <c r="A14" s="28">
        <v>13</v>
      </c>
      <c r="B14" s="30">
        <v>140000</v>
      </c>
      <c r="C14" s="21" t="s">
        <v>52</v>
      </c>
      <c r="D14" s="21" t="s">
        <v>60</v>
      </c>
      <c r="E14" s="26" t="s">
        <v>67</v>
      </c>
    </row>
    <row r="15" spans="1:5" ht="358.8" x14ac:dyDescent="0.3">
      <c r="A15" s="29">
        <v>14</v>
      </c>
      <c r="B15" s="31">
        <v>175000</v>
      </c>
      <c r="C15" s="22" t="s">
        <v>68</v>
      </c>
      <c r="D15" s="22" t="s">
        <v>69</v>
      </c>
      <c r="E15" s="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193B-18A0-4485-B1BE-CA6BF4766BAF}">
  <dimension ref="A1:W16"/>
  <sheetViews>
    <sheetView zoomScale="40" zoomScaleNormal="40" workbookViewId="0">
      <selection activeCell="E16" sqref="B1:E16"/>
    </sheetView>
  </sheetViews>
  <sheetFormatPr defaultColWidth="11.19921875" defaultRowHeight="15.6" x14ac:dyDescent="0.3"/>
  <cols>
    <col min="1" max="1" width="9.19921875" customWidth="1"/>
    <col min="2" max="2" width="36.69921875" customWidth="1"/>
    <col min="3" max="5" width="71.796875" customWidth="1"/>
    <col min="7" max="8" width="36.69921875" customWidth="1"/>
    <col min="9" max="9" width="15" customWidth="1"/>
    <col min="10" max="10" width="9.19921875" customWidth="1"/>
    <col min="11" max="11" width="12.5" customWidth="1"/>
    <col min="12" max="13" width="11.69921875" customWidth="1"/>
    <col min="14" max="14" width="12.5" customWidth="1"/>
    <col min="15" max="16" width="11.69921875" customWidth="1"/>
    <col min="17" max="17" width="13.296875" customWidth="1"/>
    <col min="18" max="19" width="12.5" customWidth="1"/>
    <col min="20" max="20" width="10.796875" customWidth="1"/>
  </cols>
  <sheetData>
    <row r="1" spans="1:23" ht="25.05" customHeight="1" x14ac:dyDescent="0.3">
      <c r="C1" s="1" t="s">
        <v>1</v>
      </c>
      <c r="D1" s="1" t="s">
        <v>2</v>
      </c>
      <c r="E1" s="1" t="s">
        <v>3</v>
      </c>
      <c r="I1" s="1" t="s">
        <v>0</v>
      </c>
      <c r="J1" s="32" t="s">
        <v>4</v>
      </c>
      <c r="K1" s="32"/>
      <c r="L1" s="32"/>
      <c r="M1" s="33"/>
      <c r="N1" s="32"/>
      <c r="O1" s="32"/>
      <c r="P1" s="33"/>
      <c r="Q1" s="32"/>
      <c r="R1" s="32"/>
      <c r="S1" s="33"/>
      <c r="T1" s="32"/>
    </row>
    <row r="2" spans="1:23" ht="25.05" customHeight="1" x14ac:dyDescent="0.3">
      <c r="A2" s="3" t="s">
        <v>5</v>
      </c>
      <c r="B2" t="s">
        <v>0</v>
      </c>
      <c r="C2" s="2"/>
      <c r="D2" s="2"/>
      <c r="E2" s="2"/>
      <c r="I2" s="2"/>
      <c r="J2" s="3" t="s">
        <v>5</v>
      </c>
      <c r="K2" s="3" t="s">
        <v>6</v>
      </c>
      <c r="L2" s="4" t="s">
        <v>7</v>
      </c>
      <c r="M2" s="5" t="s">
        <v>8</v>
      </c>
      <c r="N2" s="6" t="s">
        <v>9</v>
      </c>
      <c r="O2" s="4" t="s">
        <v>10</v>
      </c>
      <c r="P2" s="5" t="s">
        <v>11</v>
      </c>
      <c r="Q2" s="6" t="s">
        <v>12</v>
      </c>
      <c r="R2" s="4" t="s">
        <v>13</v>
      </c>
      <c r="S2" s="5" t="s">
        <v>14</v>
      </c>
      <c r="T2" s="6" t="s">
        <v>15</v>
      </c>
    </row>
    <row r="3" spans="1:23" ht="31.2" x14ac:dyDescent="0.3">
      <c r="A3" s="9">
        <v>1</v>
      </c>
      <c r="B3" s="34">
        <v>100000</v>
      </c>
      <c r="C3" s="8" t="s">
        <v>76</v>
      </c>
      <c r="D3" s="8" t="s">
        <v>71</v>
      </c>
      <c r="E3" s="8" t="s">
        <v>72</v>
      </c>
      <c r="H3" s="34">
        <v>100000</v>
      </c>
      <c r="I3" s="7">
        <v>7000</v>
      </c>
      <c r="J3" s="9">
        <v>1</v>
      </c>
      <c r="K3" s="10">
        <v>1000</v>
      </c>
      <c r="L3" s="11">
        <v>999</v>
      </c>
      <c r="M3" s="12">
        <v>1</v>
      </c>
      <c r="N3" s="13">
        <v>2000</v>
      </c>
      <c r="O3" s="11">
        <v>1999</v>
      </c>
      <c r="P3" s="12">
        <v>1</v>
      </c>
      <c r="Q3" s="13">
        <v>4000</v>
      </c>
      <c r="R3" s="11">
        <v>3999</v>
      </c>
      <c r="S3" s="12">
        <v>1</v>
      </c>
      <c r="T3" s="14" t="s">
        <v>16</v>
      </c>
      <c r="U3" s="35">
        <f>L3/$H3</f>
        <v>9.9900000000000006E-3</v>
      </c>
      <c r="V3" s="35">
        <f>N3/$H3</f>
        <v>0.02</v>
      </c>
      <c r="W3" s="35">
        <f>Q3/$H3</f>
        <v>0.04</v>
      </c>
    </row>
    <row r="4" spans="1:23" ht="31.2" x14ac:dyDescent="0.3">
      <c r="A4" s="17">
        <v>2</v>
      </c>
      <c r="B4" s="34">
        <v>200000</v>
      </c>
      <c r="C4" s="8" t="s">
        <v>71</v>
      </c>
      <c r="D4" s="16" t="s">
        <v>72</v>
      </c>
      <c r="E4" s="36" t="s">
        <v>74</v>
      </c>
      <c r="H4" s="34">
        <v>200000</v>
      </c>
      <c r="I4" s="15">
        <v>14000</v>
      </c>
      <c r="J4" s="17">
        <v>2</v>
      </c>
      <c r="K4" s="18">
        <v>2000</v>
      </c>
      <c r="L4" s="19">
        <v>1999</v>
      </c>
      <c r="M4" s="12">
        <v>1</v>
      </c>
      <c r="N4" s="20">
        <v>4000</v>
      </c>
      <c r="O4" s="19">
        <v>3999</v>
      </c>
      <c r="P4" s="12">
        <v>1</v>
      </c>
      <c r="Q4" s="20">
        <v>8000</v>
      </c>
      <c r="R4" s="19">
        <v>7999</v>
      </c>
      <c r="S4" s="12">
        <v>1</v>
      </c>
      <c r="T4" s="14" t="s">
        <v>16</v>
      </c>
      <c r="U4" s="35">
        <f t="shared" ref="U4:U16" si="0">L4/$H4</f>
        <v>9.9950000000000004E-3</v>
      </c>
      <c r="V4" s="35">
        <f t="shared" ref="V4:V16" si="1">N4/$H4</f>
        <v>0.02</v>
      </c>
      <c r="W4" s="35">
        <f t="shared" ref="W4:W16" si="2">Q4/$H4</f>
        <v>0.04</v>
      </c>
    </row>
    <row r="5" spans="1:23" x14ac:dyDescent="0.3">
      <c r="A5" s="9">
        <v>3</v>
      </c>
      <c r="B5" s="34">
        <v>300000</v>
      </c>
      <c r="C5" s="8" t="s">
        <v>17</v>
      </c>
      <c r="D5" s="8" t="s">
        <v>18</v>
      </c>
      <c r="E5" s="8" t="s">
        <v>19</v>
      </c>
      <c r="H5" s="34">
        <v>300000</v>
      </c>
      <c r="I5" s="7">
        <v>21000</v>
      </c>
      <c r="J5" s="9">
        <v>3</v>
      </c>
      <c r="K5" s="10">
        <v>3000</v>
      </c>
      <c r="L5" s="11">
        <v>2999</v>
      </c>
      <c r="M5" s="12">
        <v>1</v>
      </c>
      <c r="N5" s="13">
        <v>6000</v>
      </c>
      <c r="O5" s="11">
        <v>5999</v>
      </c>
      <c r="P5" s="12">
        <v>1</v>
      </c>
      <c r="Q5" s="13">
        <v>12000</v>
      </c>
      <c r="R5" s="11">
        <v>12000</v>
      </c>
      <c r="S5" s="12">
        <v>0</v>
      </c>
      <c r="T5" s="14" t="s">
        <v>16</v>
      </c>
      <c r="U5" s="35">
        <f t="shared" si="0"/>
        <v>9.9966666666666659E-3</v>
      </c>
      <c r="V5" s="35">
        <f t="shared" si="1"/>
        <v>0.02</v>
      </c>
      <c r="W5" s="35">
        <f t="shared" si="2"/>
        <v>0.04</v>
      </c>
    </row>
    <row r="6" spans="1:23" ht="31.2" x14ac:dyDescent="0.3">
      <c r="A6" s="17">
        <v>4</v>
      </c>
      <c r="B6" s="34">
        <v>400000</v>
      </c>
      <c r="C6" s="16" t="s">
        <v>72</v>
      </c>
      <c r="D6" s="36" t="s">
        <v>74</v>
      </c>
      <c r="E6" s="16" t="s">
        <v>30</v>
      </c>
      <c r="H6" s="34">
        <v>400000</v>
      </c>
      <c r="I6" s="15">
        <v>28000</v>
      </c>
      <c r="J6" s="17">
        <v>4</v>
      </c>
      <c r="K6" s="18">
        <v>4000</v>
      </c>
      <c r="L6" s="19">
        <v>3999</v>
      </c>
      <c r="M6" s="12">
        <v>1</v>
      </c>
      <c r="N6" s="20">
        <v>8000</v>
      </c>
      <c r="O6" s="19">
        <v>7999</v>
      </c>
      <c r="P6" s="12">
        <v>1</v>
      </c>
      <c r="Q6" s="20">
        <v>16000</v>
      </c>
      <c r="R6" s="19">
        <v>15299</v>
      </c>
      <c r="S6" s="12">
        <v>701</v>
      </c>
      <c r="T6" s="14" t="s">
        <v>16</v>
      </c>
      <c r="U6" s="35">
        <f t="shared" si="0"/>
        <v>9.9974999999999994E-3</v>
      </c>
      <c r="V6" s="35">
        <f t="shared" si="1"/>
        <v>0.02</v>
      </c>
      <c r="W6" s="35">
        <f t="shared" si="2"/>
        <v>0.04</v>
      </c>
    </row>
    <row r="7" spans="1:23" ht="31.2" x14ac:dyDescent="0.3">
      <c r="A7" s="9">
        <v>5</v>
      </c>
      <c r="B7" s="34">
        <v>500000</v>
      </c>
      <c r="C7" s="8" t="s">
        <v>20</v>
      </c>
      <c r="D7" s="8" t="s">
        <v>34</v>
      </c>
      <c r="E7" s="8" t="s">
        <v>21</v>
      </c>
      <c r="H7" s="34">
        <v>500000</v>
      </c>
      <c r="I7" s="7">
        <v>35000</v>
      </c>
      <c r="J7" s="9">
        <v>5</v>
      </c>
      <c r="K7" s="10">
        <v>5000</v>
      </c>
      <c r="L7" s="11">
        <v>4999</v>
      </c>
      <c r="M7" s="12">
        <v>1</v>
      </c>
      <c r="N7" s="13">
        <v>10000</v>
      </c>
      <c r="O7" s="11">
        <v>9739</v>
      </c>
      <c r="P7" s="12">
        <v>261</v>
      </c>
      <c r="Q7" s="13">
        <v>20000</v>
      </c>
      <c r="R7" s="11">
        <v>20000</v>
      </c>
      <c r="S7" s="12">
        <v>0</v>
      </c>
      <c r="T7" s="14" t="s">
        <v>16</v>
      </c>
      <c r="U7" s="35">
        <f t="shared" si="0"/>
        <v>9.9979999999999999E-3</v>
      </c>
      <c r="V7" s="35">
        <f t="shared" si="1"/>
        <v>0.02</v>
      </c>
      <c r="W7" s="35">
        <f t="shared" si="2"/>
        <v>0.04</v>
      </c>
    </row>
    <row r="8" spans="1:23" ht="31.2" x14ac:dyDescent="0.3">
      <c r="A8" s="17">
        <v>6</v>
      </c>
      <c r="B8" s="34">
        <v>600000</v>
      </c>
      <c r="C8" s="16" t="s">
        <v>18</v>
      </c>
      <c r="D8" s="16" t="s">
        <v>19</v>
      </c>
      <c r="E8" s="37" t="s">
        <v>73</v>
      </c>
      <c r="H8" s="34">
        <v>600000</v>
      </c>
      <c r="I8" s="15">
        <v>42000</v>
      </c>
      <c r="J8" s="17">
        <v>6</v>
      </c>
      <c r="K8" s="18">
        <v>6000</v>
      </c>
      <c r="L8" s="19">
        <v>5999</v>
      </c>
      <c r="M8" s="12">
        <v>1</v>
      </c>
      <c r="N8" s="20">
        <v>12000</v>
      </c>
      <c r="O8" s="19">
        <v>12000</v>
      </c>
      <c r="P8" s="12">
        <v>0</v>
      </c>
      <c r="Q8" s="20">
        <v>24000</v>
      </c>
      <c r="R8" s="19">
        <v>23999</v>
      </c>
      <c r="S8" s="12">
        <v>1</v>
      </c>
      <c r="T8" s="14" t="s">
        <v>16</v>
      </c>
      <c r="U8" s="35">
        <f t="shared" si="0"/>
        <v>9.998333333333333E-3</v>
      </c>
      <c r="V8" s="35">
        <f t="shared" si="1"/>
        <v>0.02</v>
      </c>
      <c r="W8" s="35">
        <f t="shared" si="2"/>
        <v>0.04</v>
      </c>
    </row>
    <row r="9" spans="1:23" ht="46.8" x14ac:dyDescent="0.3">
      <c r="A9" s="9">
        <v>7</v>
      </c>
      <c r="B9" s="34">
        <v>700000</v>
      </c>
      <c r="C9" s="36" t="s">
        <v>74</v>
      </c>
      <c r="D9" s="8" t="s">
        <v>35</v>
      </c>
      <c r="E9" s="37" t="s">
        <v>75</v>
      </c>
      <c r="H9" s="34">
        <v>700000</v>
      </c>
      <c r="I9" s="7">
        <v>49000</v>
      </c>
      <c r="J9" s="9">
        <v>7</v>
      </c>
      <c r="K9" s="10">
        <v>7000</v>
      </c>
      <c r="L9" s="11">
        <v>6999</v>
      </c>
      <c r="M9" s="12">
        <v>1</v>
      </c>
      <c r="N9" s="13">
        <v>14000</v>
      </c>
      <c r="O9" s="11">
        <v>13779</v>
      </c>
      <c r="P9" s="12">
        <v>221</v>
      </c>
      <c r="Q9" s="13">
        <v>28000</v>
      </c>
      <c r="R9" s="11">
        <v>27999</v>
      </c>
      <c r="S9" s="12">
        <v>1</v>
      </c>
      <c r="T9" s="14" t="s">
        <v>16</v>
      </c>
      <c r="U9" s="35">
        <f t="shared" si="0"/>
        <v>9.9985714285714278E-3</v>
      </c>
      <c r="V9" s="35">
        <f t="shared" si="1"/>
        <v>0.02</v>
      </c>
      <c r="W9" s="35">
        <f t="shared" si="2"/>
        <v>0.04</v>
      </c>
    </row>
    <row r="10" spans="1:23" ht="46.8" x14ac:dyDescent="0.3">
      <c r="A10" s="17">
        <v>8</v>
      </c>
      <c r="B10" s="34">
        <v>900000</v>
      </c>
      <c r="C10" s="16" t="s">
        <v>36</v>
      </c>
      <c r="D10" s="16" t="s">
        <v>32</v>
      </c>
      <c r="E10" s="16" t="s">
        <v>33</v>
      </c>
      <c r="H10" s="34">
        <v>900000</v>
      </c>
      <c r="I10" s="15">
        <v>63000</v>
      </c>
      <c r="J10" s="17">
        <v>8</v>
      </c>
      <c r="K10" s="18">
        <v>9000</v>
      </c>
      <c r="L10" s="19">
        <v>8579</v>
      </c>
      <c r="M10" s="12">
        <v>421</v>
      </c>
      <c r="N10" s="20">
        <v>18000</v>
      </c>
      <c r="O10" s="19">
        <v>17599</v>
      </c>
      <c r="P10" s="12">
        <v>401</v>
      </c>
      <c r="Q10" s="20">
        <v>36000</v>
      </c>
      <c r="R10" s="19">
        <v>35299</v>
      </c>
      <c r="S10" s="12">
        <v>701</v>
      </c>
      <c r="T10" s="14" t="s">
        <v>16</v>
      </c>
      <c r="U10" s="35">
        <f t="shared" si="0"/>
        <v>9.5322222222222214E-3</v>
      </c>
      <c r="V10" s="35">
        <f t="shared" si="1"/>
        <v>0.02</v>
      </c>
      <c r="W10" s="35">
        <f t="shared" si="2"/>
        <v>0.04</v>
      </c>
    </row>
    <row r="11" spans="1:23" ht="46.8" x14ac:dyDescent="0.3">
      <c r="A11" s="9">
        <v>9</v>
      </c>
      <c r="B11" s="34">
        <v>1000000</v>
      </c>
      <c r="C11" s="8" t="s">
        <v>31</v>
      </c>
      <c r="D11" s="8" t="s">
        <v>21</v>
      </c>
      <c r="E11" s="8" t="s">
        <v>29</v>
      </c>
      <c r="H11" s="34">
        <v>1000000</v>
      </c>
      <c r="I11" s="7">
        <v>70000</v>
      </c>
      <c r="J11" s="9">
        <v>9</v>
      </c>
      <c r="K11" s="10">
        <v>10000</v>
      </c>
      <c r="L11" s="11">
        <v>9739</v>
      </c>
      <c r="M11" s="12">
        <v>261</v>
      </c>
      <c r="N11" s="13">
        <v>20000</v>
      </c>
      <c r="O11" s="11">
        <v>20000</v>
      </c>
      <c r="P11" s="12">
        <v>0</v>
      </c>
      <c r="Q11" s="13">
        <v>40000</v>
      </c>
      <c r="R11" s="11">
        <v>38999</v>
      </c>
      <c r="S11" s="12">
        <v>1001</v>
      </c>
      <c r="T11" s="14" t="s">
        <v>16</v>
      </c>
      <c r="U11" s="35">
        <f t="shared" si="0"/>
        <v>9.7389999999999994E-3</v>
      </c>
      <c r="V11" s="35">
        <f t="shared" si="1"/>
        <v>0.02</v>
      </c>
      <c r="W11" s="35">
        <f t="shared" si="2"/>
        <v>0.04</v>
      </c>
    </row>
    <row r="12" spans="1:23" ht="62.4" x14ac:dyDescent="0.3">
      <c r="A12" s="17">
        <v>10</v>
      </c>
      <c r="B12" s="34">
        <v>1200000</v>
      </c>
      <c r="C12" s="16" t="s">
        <v>19</v>
      </c>
      <c r="D12" s="38" t="s">
        <v>73</v>
      </c>
      <c r="E12" s="16" t="s">
        <v>37</v>
      </c>
      <c r="H12" s="34">
        <v>1200000</v>
      </c>
      <c r="I12" s="15">
        <v>84000</v>
      </c>
      <c r="J12" s="17">
        <v>10</v>
      </c>
      <c r="K12" s="18">
        <v>12000</v>
      </c>
      <c r="L12" s="19">
        <v>12000</v>
      </c>
      <c r="M12" s="12">
        <v>0</v>
      </c>
      <c r="N12" s="20">
        <v>24000</v>
      </c>
      <c r="O12" s="19">
        <v>23999</v>
      </c>
      <c r="P12" s="12">
        <v>1</v>
      </c>
      <c r="Q12" s="20">
        <v>48000</v>
      </c>
      <c r="R12" s="19">
        <v>47578</v>
      </c>
      <c r="S12" s="12">
        <v>422</v>
      </c>
      <c r="T12" s="14" t="s">
        <v>16</v>
      </c>
      <c r="U12" s="35">
        <f t="shared" si="0"/>
        <v>0.01</v>
      </c>
      <c r="V12" s="35">
        <f t="shared" si="1"/>
        <v>0.02</v>
      </c>
      <c r="W12" s="35">
        <f t="shared" si="2"/>
        <v>0.04</v>
      </c>
    </row>
    <row r="13" spans="1:23" ht="46.8" x14ac:dyDescent="0.3">
      <c r="A13" s="9">
        <v>11</v>
      </c>
      <c r="B13" s="34">
        <v>1300000</v>
      </c>
      <c r="C13" s="8" t="s">
        <v>22</v>
      </c>
      <c r="D13" s="8" t="s">
        <v>23</v>
      </c>
      <c r="E13" s="8" t="s">
        <v>24</v>
      </c>
      <c r="H13" s="34">
        <v>1300000</v>
      </c>
      <c r="I13" s="7">
        <v>91000</v>
      </c>
      <c r="J13" s="9">
        <v>11</v>
      </c>
      <c r="K13" s="10">
        <v>13000</v>
      </c>
      <c r="L13" s="11">
        <v>12999</v>
      </c>
      <c r="M13" s="12">
        <v>1</v>
      </c>
      <c r="N13" s="13">
        <v>26000</v>
      </c>
      <c r="O13" s="11">
        <v>25999</v>
      </c>
      <c r="P13" s="12">
        <v>1</v>
      </c>
      <c r="Q13" s="13">
        <v>52000</v>
      </c>
      <c r="R13" s="11">
        <v>51998</v>
      </c>
      <c r="S13" s="12">
        <v>2</v>
      </c>
      <c r="T13" s="14" t="s">
        <v>16</v>
      </c>
      <c r="U13" s="35">
        <f t="shared" si="0"/>
        <v>9.9992307692307689E-3</v>
      </c>
      <c r="V13" s="35">
        <f t="shared" si="1"/>
        <v>0.02</v>
      </c>
      <c r="W13" s="35">
        <f t="shared" si="2"/>
        <v>0.04</v>
      </c>
    </row>
    <row r="14" spans="1:23" ht="78" x14ac:dyDescent="0.3">
      <c r="A14" s="17">
        <v>12</v>
      </c>
      <c r="B14" s="34">
        <v>1600000</v>
      </c>
      <c r="C14" s="16" t="s">
        <v>30</v>
      </c>
      <c r="D14" s="16" t="s">
        <v>25</v>
      </c>
      <c r="E14" s="16" t="s">
        <v>38</v>
      </c>
      <c r="H14" s="34">
        <v>1600000</v>
      </c>
      <c r="I14" s="15">
        <v>112000</v>
      </c>
      <c r="J14" s="17">
        <v>12</v>
      </c>
      <c r="K14" s="18">
        <v>16000</v>
      </c>
      <c r="L14" s="19">
        <v>15299</v>
      </c>
      <c r="M14" s="12">
        <v>701</v>
      </c>
      <c r="N14" s="20">
        <v>32000</v>
      </c>
      <c r="O14" s="19">
        <v>32000</v>
      </c>
      <c r="P14" s="12">
        <v>0</v>
      </c>
      <c r="Q14" s="20">
        <v>64000</v>
      </c>
      <c r="R14" s="19">
        <v>63677</v>
      </c>
      <c r="S14" s="12">
        <v>323</v>
      </c>
      <c r="T14" s="14" t="s">
        <v>16</v>
      </c>
      <c r="U14" s="35">
        <f t="shared" si="0"/>
        <v>9.5618749999999992E-3</v>
      </c>
      <c r="V14" s="35">
        <f t="shared" si="1"/>
        <v>0.02</v>
      </c>
      <c r="W14" s="35">
        <f t="shared" si="2"/>
        <v>0.04</v>
      </c>
    </row>
    <row r="15" spans="1:23" ht="78" x14ac:dyDescent="0.3">
      <c r="A15" s="9">
        <v>13</v>
      </c>
      <c r="B15" s="34">
        <v>2000000</v>
      </c>
      <c r="C15" s="8" t="s">
        <v>21</v>
      </c>
      <c r="D15" s="8" t="s">
        <v>29</v>
      </c>
      <c r="E15" s="8" t="s">
        <v>77</v>
      </c>
      <c r="H15" s="34">
        <v>2000000</v>
      </c>
      <c r="I15" s="7">
        <v>140000</v>
      </c>
      <c r="J15" s="9">
        <v>13</v>
      </c>
      <c r="K15" s="10">
        <v>20000</v>
      </c>
      <c r="L15" s="11">
        <v>20000</v>
      </c>
      <c r="M15" s="12">
        <v>0</v>
      </c>
      <c r="N15" s="13">
        <v>40000</v>
      </c>
      <c r="O15" s="11">
        <v>38999</v>
      </c>
      <c r="P15" s="12">
        <v>1001</v>
      </c>
      <c r="Q15" s="13">
        <v>80000</v>
      </c>
      <c r="R15" s="11">
        <v>79896</v>
      </c>
      <c r="S15" s="12">
        <v>104</v>
      </c>
      <c r="T15" s="14" t="s">
        <v>16</v>
      </c>
      <c r="U15" s="35">
        <f t="shared" si="0"/>
        <v>0.01</v>
      </c>
      <c r="V15" s="35">
        <f t="shared" si="1"/>
        <v>0.02</v>
      </c>
      <c r="W15" s="35">
        <f t="shared" si="2"/>
        <v>0.04</v>
      </c>
    </row>
    <row r="16" spans="1:23" ht="225.6" customHeight="1" x14ac:dyDescent="0.3">
      <c r="A16" s="17">
        <v>14</v>
      </c>
      <c r="B16" s="34">
        <v>2500000</v>
      </c>
      <c r="C16" s="16" t="s">
        <v>26</v>
      </c>
      <c r="D16" s="16" t="s">
        <v>28</v>
      </c>
      <c r="E16" s="16" t="s">
        <v>27</v>
      </c>
      <c r="H16" s="34">
        <v>2500000</v>
      </c>
      <c r="I16" s="15">
        <v>175000</v>
      </c>
      <c r="J16" s="17">
        <v>14</v>
      </c>
      <c r="K16" s="18">
        <v>25000</v>
      </c>
      <c r="L16" s="19">
        <v>24999</v>
      </c>
      <c r="M16" s="12">
        <v>1</v>
      </c>
      <c r="N16" s="20">
        <v>50000</v>
      </c>
      <c r="O16" s="19">
        <v>48738</v>
      </c>
      <c r="P16" s="12">
        <v>1262</v>
      </c>
      <c r="Q16" s="20">
        <v>100000</v>
      </c>
      <c r="R16" s="19">
        <v>99895</v>
      </c>
      <c r="S16" s="12">
        <v>105</v>
      </c>
      <c r="T16" s="14" t="s">
        <v>16</v>
      </c>
      <c r="U16" s="35">
        <f t="shared" si="0"/>
        <v>9.9996000000000008E-3</v>
      </c>
      <c r="V16" s="35">
        <f t="shared" si="1"/>
        <v>0.02</v>
      </c>
      <c r="W16" s="35">
        <f t="shared" si="2"/>
        <v>0.04</v>
      </c>
    </row>
  </sheetData>
  <mergeCells count="1">
    <mergeCell ref="J1:T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E27D-5040-4D2D-8CF6-04422E854FFF}">
  <dimension ref="A1:D16"/>
  <sheetViews>
    <sheetView tabSelected="1" workbookViewId="0">
      <selection activeCell="D16" sqref="A1:D16"/>
    </sheetView>
  </sheetViews>
  <sheetFormatPr defaultRowHeight="15.6" x14ac:dyDescent="0.3"/>
  <cols>
    <col min="1" max="1" width="11.19921875" bestFit="1" customWidth="1"/>
    <col min="2" max="4" width="51.09765625" customWidth="1"/>
  </cols>
  <sheetData>
    <row r="1" spans="1:4" x14ac:dyDescent="0.3">
      <c r="B1" s="1" t="s">
        <v>1</v>
      </c>
      <c r="C1" s="1" t="s">
        <v>2</v>
      </c>
      <c r="D1" s="1" t="s">
        <v>3</v>
      </c>
    </row>
    <row r="2" spans="1:4" x14ac:dyDescent="0.3">
      <c r="A2" t="s">
        <v>0</v>
      </c>
      <c r="B2" s="2"/>
      <c r="C2" s="2"/>
      <c r="D2" s="2"/>
    </row>
    <row r="3" spans="1:4" ht="31.2" x14ac:dyDescent="0.3">
      <c r="A3" s="34">
        <v>100000</v>
      </c>
      <c r="B3" s="8" t="s">
        <v>76</v>
      </c>
      <c r="C3" s="8" t="s">
        <v>71</v>
      </c>
      <c r="D3" s="8" t="s">
        <v>72</v>
      </c>
    </row>
    <row r="4" spans="1:4" ht="46.8" x14ac:dyDescent="0.3">
      <c r="A4" s="34">
        <v>200000</v>
      </c>
      <c r="B4" s="39" t="s">
        <v>71</v>
      </c>
      <c r="C4" s="39" t="s">
        <v>72</v>
      </c>
      <c r="D4" s="39" t="s">
        <v>74</v>
      </c>
    </row>
    <row r="5" spans="1:4" x14ac:dyDescent="0.3">
      <c r="A5" s="34">
        <v>300000</v>
      </c>
      <c r="B5" s="39" t="s">
        <v>17</v>
      </c>
      <c r="C5" s="39" t="s">
        <v>18</v>
      </c>
      <c r="D5" s="39" t="s">
        <v>19</v>
      </c>
    </row>
    <row r="6" spans="1:4" ht="46.8" x14ac:dyDescent="0.3">
      <c r="A6" s="34">
        <v>400000</v>
      </c>
      <c r="B6" s="39" t="s">
        <v>72</v>
      </c>
      <c r="C6" s="39" t="s">
        <v>74</v>
      </c>
      <c r="D6" s="39" t="s">
        <v>30</v>
      </c>
    </row>
    <row r="7" spans="1:4" ht="31.2" x14ac:dyDescent="0.3">
      <c r="A7" s="34">
        <v>500000</v>
      </c>
      <c r="B7" s="39" t="s">
        <v>20</v>
      </c>
      <c r="C7" s="39" t="s">
        <v>34</v>
      </c>
      <c r="D7" s="39" t="s">
        <v>21</v>
      </c>
    </row>
    <row r="8" spans="1:4" ht="31.2" x14ac:dyDescent="0.3">
      <c r="A8" s="34">
        <v>600000</v>
      </c>
      <c r="B8" s="39" t="s">
        <v>18</v>
      </c>
      <c r="C8" s="39" t="s">
        <v>19</v>
      </c>
      <c r="D8" s="39" t="s">
        <v>73</v>
      </c>
    </row>
    <row r="9" spans="1:4" ht="62.4" x14ac:dyDescent="0.3">
      <c r="A9" s="34">
        <v>700000</v>
      </c>
      <c r="B9" s="39" t="s">
        <v>74</v>
      </c>
      <c r="C9" s="39" t="s">
        <v>35</v>
      </c>
      <c r="D9" s="39" t="s">
        <v>75</v>
      </c>
    </row>
    <row r="10" spans="1:4" ht="46.8" x14ac:dyDescent="0.3">
      <c r="A10" s="34">
        <v>900000</v>
      </c>
      <c r="B10" s="39" t="s">
        <v>36</v>
      </c>
      <c r="C10" s="39" t="s">
        <v>32</v>
      </c>
      <c r="D10" s="39" t="s">
        <v>33</v>
      </c>
    </row>
    <row r="11" spans="1:4" ht="46.8" x14ac:dyDescent="0.3">
      <c r="A11" s="34">
        <v>1000000</v>
      </c>
      <c r="B11" s="39" t="s">
        <v>31</v>
      </c>
      <c r="C11" s="39" t="s">
        <v>21</v>
      </c>
      <c r="D11" s="39" t="s">
        <v>29</v>
      </c>
    </row>
    <row r="12" spans="1:4" ht="62.4" x14ac:dyDescent="0.3">
      <c r="A12" s="34">
        <v>1200000</v>
      </c>
      <c r="B12" s="39" t="s">
        <v>19</v>
      </c>
      <c r="C12" s="39" t="s">
        <v>73</v>
      </c>
      <c r="D12" s="39" t="s">
        <v>37</v>
      </c>
    </row>
    <row r="13" spans="1:4" ht="31.2" x14ac:dyDescent="0.3">
      <c r="A13" s="34">
        <v>1300000</v>
      </c>
      <c r="B13" s="39" t="s">
        <v>22</v>
      </c>
      <c r="C13" s="39" t="s">
        <v>23</v>
      </c>
      <c r="D13" s="39" t="s">
        <v>79</v>
      </c>
    </row>
    <row r="14" spans="1:4" ht="62.4" x14ac:dyDescent="0.3">
      <c r="A14" s="34">
        <v>1600000</v>
      </c>
      <c r="B14" s="39" t="s">
        <v>30</v>
      </c>
      <c r="C14" s="39" t="s">
        <v>25</v>
      </c>
      <c r="D14" s="39" t="s">
        <v>78</v>
      </c>
    </row>
    <row r="15" spans="1:4" ht="62.4" x14ac:dyDescent="0.3">
      <c r="A15" s="34">
        <v>2000000</v>
      </c>
      <c r="B15" s="39" t="s">
        <v>21</v>
      </c>
      <c r="C15" s="39" t="s">
        <v>29</v>
      </c>
      <c r="D15" s="39" t="s">
        <v>81</v>
      </c>
    </row>
    <row r="16" spans="1:4" ht="62.4" x14ac:dyDescent="0.3">
      <c r="A16" s="34">
        <v>2500000</v>
      </c>
      <c r="B16" s="39" t="s">
        <v>26</v>
      </c>
      <c r="C16" s="39" t="s">
        <v>28</v>
      </c>
      <c r="D16" s="39" t="s">
        <v>80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 of choosed products </vt:lpstr>
      <vt:lpstr>choosen products v2</vt:lpstr>
      <vt:lpstr>Latest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SAGUEM</dc:creator>
  <cp:lastModifiedBy>Meriem Benabad</cp:lastModifiedBy>
  <dcterms:created xsi:type="dcterms:W3CDTF">2026-05-09T12:27:58Z</dcterms:created>
  <dcterms:modified xsi:type="dcterms:W3CDTF">2026-05-09T13:50:19Z</dcterms:modified>
</cp:coreProperties>
</file>